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sinu10\Downloads\"/>
    </mc:Choice>
  </mc:AlternateContent>
  <xr:revisionPtr revIDLastSave="0" documentId="13_ncr:1_{9D543AB5-9234-494C-AD43-A363CF0CB5FC}" xr6:coauthVersionLast="41" xr6:coauthVersionMax="43" xr10:uidLastSave="{00000000-0000-0000-0000-000000000000}"/>
  <bookViews>
    <workbookView xWindow="-110" yWindow="-110" windowWidth="19420" windowHeight="10420" firstSheet="1" activeTab="1" xr2:uid="{96268580-C6A7-494A-8C0A-CDC5DE30305D}"/>
  </bookViews>
  <sheets>
    <sheet name="FinalResult1" sheetId="54" state="hidden" r:id="rId1"/>
    <sheet name="Sheet1" sheetId="81" r:id="rId2"/>
    <sheet name="NewSKU" sheetId="1" r:id="rId3"/>
    <sheet name="FinalResult190" sheetId="80" r:id="rId4"/>
    <sheet name="PriceChange" sheetId="27" r:id="rId5"/>
    <sheet name="SKuPrice" sheetId="5" r:id="rId6"/>
    <sheet name="Discontinuation" sheetId="29" r:id="rId7"/>
  </sheets>
  <externalReferences>
    <externalReference r:id="rId8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S2" i="29" l="1"/>
  <c r="O2" i="29"/>
  <c r="S1" i="29"/>
  <c r="Q1" i="29"/>
  <c r="O1" i="29"/>
  <c r="Q2" i="27"/>
  <c r="M2" i="27"/>
  <c r="Q1" i="27"/>
  <c r="O1" i="27"/>
  <c r="M1" i="27"/>
  <c r="M1" i="1"/>
  <c r="K1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Default User</author>
    <author>Not for Resale</author>
  </authors>
  <commentList>
    <comment ref="Q1" authorId="0" shapeId="0" xr:uid="{1A3B3599-7253-4523-BA3C-88C26F947880}">
      <text>
        <r>
          <rPr>
            <b/>
            <sz val="8"/>
            <color indexed="81"/>
            <rFont val="Tahoma"/>
            <family val="2"/>
          </rPr>
          <t>Cost must be in the following format: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sz val="8"/>
            <color indexed="81"/>
            <rFont val="Tahoma"/>
            <family val="2"/>
          </rPr>
          <t>54321.00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V1" authorId="0" shapeId="0" xr:uid="{65AFE744-5230-4FB7-8A0B-CAAE85DAFE36}">
      <text>
        <r>
          <rPr>
            <b/>
            <sz val="8"/>
            <color indexed="81"/>
            <rFont val="Tahoma"/>
            <family val="2"/>
          </rPr>
          <t xml:space="preserve">If weight is not know,
enter 0.00.
</t>
        </r>
      </text>
    </comment>
    <comment ref="X1" authorId="0" shapeId="0" xr:uid="{DEFDCEEC-72ED-449C-8C1A-094445D0EE36}">
      <text>
        <r>
          <rPr>
            <b/>
            <sz val="8"/>
            <color indexed="81"/>
            <rFont val="Tahoma"/>
            <family val="2"/>
          </rPr>
          <t>format is set at 0.00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Y1" authorId="0" shapeId="0" xr:uid="{DC8A5BC9-DE23-4F27-B5B8-EEE1DBF9890C}">
      <text>
        <r>
          <rPr>
            <b/>
            <sz val="8"/>
            <color indexed="81"/>
            <rFont val="Tahoma"/>
            <family val="2"/>
          </rPr>
          <t xml:space="preserve">format is set at 0.00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Z1" authorId="0" shapeId="0" xr:uid="{1920930E-17ED-4887-9D83-56BACAD89ECF}">
      <text>
        <r>
          <rPr>
            <b/>
            <sz val="8"/>
            <color indexed="81"/>
            <rFont val="Tahoma"/>
            <family val="2"/>
          </rPr>
          <t xml:space="preserve">format is set at 0.00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O1" authorId="1" shapeId="0" xr:uid="{3D9CD28B-08AD-46CA-8BC8-5325110E3535}">
      <text>
        <r>
          <rPr>
            <b/>
            <sz val="8"/>
            <color indexed="81"/>
            <rFont val="Tahoma"/>
            <family val="2"/>
          </rPr>
          <t xml:space="preserve">If yes, then define restriction.
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<sst xmlns="http://schemas.openxmlformats.org/spreadsheetml/2006/main" count="1340" uniqueCount="327">
  <si>
    <t>Vendor Code</t>
  </si>
  <si>
    <t>Vendor Name</t>
  </si>
  <si>
    <t>Vend Part Number</t>
  </si>
  <si>
    <t>Ingram Sku</t>
  </si>
  <si>
    <t>Class</t>
  </si>
  <si>
    <t>Row No.</t>
  </si>
  <si>
    <t>Impulse Vendor Part Number</t>
  </si>
  <si>
    <t>Impulse VC</t>
  </si>
  <si>
    <t>Ingram SKU</t>
  </si>
  <si>
    <t>Impulse Desc</t>
  </si>
  <si>
    <t>Impulse Avg cost</t>
  </si>
  <si>
    <t>Desc Line 1 (Max 31 Characters)</t>
  </si>
  <si>
    <t>Descrip Line 2 (Max. 35 characters)</t>
  </si>
  <si>
    <t>Release Date</t>
  </si>
  <si>
    <t>Authorization Required (YorN; if Y, add restrictions to Comments)</t>
  </si>
  <si>
    <t>Retail Price</t>
  </si>
  <si>
    <t>Repl Cost</t>
  </si>
  <si>
    <t>PO Cost</t>
  </si>
  <si>
    <t>Case Pack Qty</t>
  </si>
  <si>
    <t>media</t>
  </si>
  <si>
    <t>Pallet Qty</t>
  </si>
  <si>
    <t>Shipping Weight</t>
  </si>
  <si>
    <t>UPC Code</t>
  </si>
  <si>
    <t>Shipping Length</t>
  </si>
  <si>
    <t xml:space="preserve">Shipping Width </t>
  </si>
  <si>
    <t>Shipping Height</t>
  </si>
  <si>
    <t>Replaces Vendor Part #</t>
  </si>
  <si>
    <t>ECCN</t>
  </si>
  <si>
    <t>HTS</t>
  </si>
  <si>
    <t>Sec 508 (Yes/No)</t>
  </si>
  <si>
    <t>Country of Origin</t>
  </si>
  <si>
    <t>Seq number</t>
  </si>
  <si>
    <t>media group</t>
  </si>
  <si>
    <t>cat sub</t>
  </si>
  <si>
    <t>Product Group</t>
  </si>
  <si>
    <t>CPU Group</t>
  </si>
  <si>
    <t>Velocity Code</t>
  </si>
  <si>
    <t>Backorder</t>
  </si>
  <si>
    <t>Price Code</t>
  </si>
  <si>
    <t>Restricted Code</t>
  </si>
  <si>
    <t>Cntrl Stk</t>
  </si>
  <si>
    <t>Serial capture</t>
  </si>
  <si>
    <t>VC protect</t>
  </si>
  <si>
    <t>Type</t>
  </si>
  <si>
    <t>Elect</t>
  </si>
  <si>
    <t>SKU TYP/CONS (GENERAL)</t>
  </si>
  <si>
    <t>SKU TYP/CONS (Outsource)</t>
  </si>
  <si>
    <t>Qty Break</t>
  </si>
  <si>
    <t>Print PO Daily? (D=Daily)</t>
  </si>
  <si>
    <t>No Returns? (enter Y for activation)</t>
  </si>
  <si>
    <t>Comments</t>
  </si>
  <si>
    <t>eWaste Diagonal Screen Size</t>
  </si>
  <si>
    <t>Dealer Price (for Kit &amp; Penny SKUs)</t>
  </si>
  <si>
    <t>Refer Direct</t>
  </si>
  <si>
    <t>Ser/RMA</t>
  </si>
  <si>
    <t>System Comments</t>
  </si>
  <si>
    <t>Version</t>
  </si>
  <si>
    <t>Catalog</t>
  </si>
  <si>
    <t>SE Hold</t>
  </si>
  <si>
    <t>MAP</t>
  </si>
  <si>
    <t>Disco Date</t>
  </si>
  <si>
    <t xml:space="preserve">Web Visible flag </t>
  </si>
  <si>
    <t>Hazmat ID</t>
  </si>
  <si>
    <t>Prop 65 (California) Yes/No</t>
  </si>
  <si>
    <t>Prop 65 Warning Message</t>
  </si>
  <si>
    <t>Virtual or Physical Part (V or P)</t>
  </si>
  <si>
    <t>Lead Days (Calendar days it takes to ship after PO submitted)</t>
  </si>
  <si>
    <t>Ship From Country</t>
  </si>
  <si>
    <t>Ship From Zip Code</t>
  </si>
  <si>
    <t>Mins Qty</t>
  </si>
  <si>
    <t>Increments DRP Qty</t>
  </si>
  <si>
    <t>CatSpec Tool
Request ID</t>
  </si>
  <si>
    <t>D1C2ZLL-SB</t>
  </si>
  <si>
    <t>356U</t>
  </si>
  <si>
    <t>355U</t>
  </si>
  <si>
    <t>6XZ326</t>
  </si>
  <si>
    <t>DIGITAL EXPERIENCE ON CLOUD</t>
  </si>
  <si>
    <t>X</t>
  </si>
  <si>
    <t>Digital Experience On Cld</t>
  </si>
  <si>
    <t>Instance per Annum</t>
  </si>
  <si>
    <t>8F7713</t>
  </si>
  <si>
    <t>8G6216</t>
  </si>
  <si>
    <t>MAIL DUAL ENTITLEMENT ONLY</t>
  </si>
  <si>
    <t>6XX013</t>
  </si>
  <si>
    <t>Vendor # from Vendor</t>
  </si>
  <si>
    <t>Vendor # from Ingram</t>
  </si>
  <si>
    <t>Description</t>
  </si>
  <si>
    <t>Avg. Cost From Look-up</t>
  </si>
  <si>
    <t>Change every sku associated with this part number Y/N (Change Only)</t>
  </si>
  <si>
    <t>Ingram SKU (if column H=C)</t>
  </si>
  <si>
    <t>Effective Date Example: 6/2/2003</t>
  </si>
  <si>
    <t>New Retail Price</t>
  </si>
  <si>
    <t>OLD Retail Price</t>
  </si>
  <si>
    <t>New PO Cost</t>
  </si>
  <si>
    <t>New Repl Cost</t>
  </si>
  <si>
    <t>Old PO Cost</t>
  </si>
  <si>
    <t>Old Repl Cost</t>
  </si>
  <si>
    <t>PCC (optional)</t>
  </si>
  <si>
    <t>Delete Acop?</t>
  </si>
  <si>
    <t>Delete IR?</t>
  </si>
  <si>
    <t>IR Comments</t>
  </si>
  <si>
    <t>Update  PO?</t>
  </si>
  <si>
    <t>BOH</t>
  </si>
  <si>
    <t>System Old Repl Cost</t>
  </si>
  <si>
    <t>System Old PO Cost</t>
  </si>
  <si>
    <t>Confirmation</t>
  </si>
  <si>
    <t>Difference?</t>
  </si>
  <si>
    <t>Retail Change (Copy Down)</t>
  </si>
  <si>
    <t>Distribution Change (Copy Down)</t>
  </si>
  <si>
    <t>Increase/Decrease</t>
  </si>
  <si>
    <t>Dealer Margin Alert</t>
  </si>
  <si>
    <t>Entry Type</t>
  </si>
  <si>
    <t>Print Comment</t>
  </si>
  <si>
    <t>No Entry</t>
  </si>
  <si>
    <t>SubPart</t>
  </si>
  <si>
    <t>Ingram SKU (if column F=N)</t>
  </si>
  <si>
    <t>Discontinue Date</t>
  </si>
  <si>
    <t>Replacement Part Available? (Y/N)</t>
  </si>
  <si>
    <t>Replacement Vendor Part #</t>
  </si>
  <si>
    <t>Status</t>
  </si>
  <si>
    <t>No Vendor Return Date</t>
  </si>
  <si>
    <t>No Cust Return</t>
  </si>
  <si>
    <t>No Returns (Y)</t>
  </si>
  <si>
    <t>Change Seq to 99?</t>
  </si>
  <si>
    <t>New Class</t>
  </si>
  <si>
    <t>Prefix</t>
  </si>
  <si>
    <t>Sub Part</t>
  </si>
  <si>
    <t>Reason Code</t>
  </si>
  <si>
    <t>On Hand</t>
  </si>
  <si>
    <t>Messages</t>
  </si>
  <si>
    <t>CS ToolRequest ID</t>
  </si>
  <si>
    <t>Shipping Width</t>
  </si>
  <si>
    <t>Web Visible flag</t>
  </si>
  <si>
    <t>IR Comments?</t>
  </si>
  <si>
    <t>355u</t>
  </si>
  <si>
    <t>accs</t>
  </si>
  <si>
    <t>filing</t>
  </si>
  <si>
    <t>dlf</t>
  </si>
  <si>
    <t>fld</t>
  </si>
  <si>
    <t>yes</t>
  </si>
  <si>
    <t>no</t>
  </si>
  <si>
    <t>us</t>
  </si>
  <si>
    <t>a</t>
  </si>
  <si>
    <t>x</t>
  </si>
  <si>
    <t>CTO</t>
  </si>
  <si>
    <t>OTC</t>
  </si>
  <si>
    <t>ACCS</t>
  </si>
  <si>
    <t>FILING</t>
  </si>
  <si>
    <t>Y</t>
  </si>
  <si>
    <t>A</t>
  </si>
  <si>
    <t>T</t>
  </si>
  <si>
    <t>FILIN</t>
  </si>
  <si>
    <t>N</t>
  </si>
  <si>
    <t>B</t>
  </si>
  <si>
    <t>C</t>
  </si>
  <si>
    <t>O</t>
  </si>
  <si>
    <t>D</t>
  </si>
  <si>
    <t>P</t>
  </si>
  <si>
    <t>W</t>
  </si>
  <si>
    <t xml:space="preserve">HI </t>
  </si>
  <si>
    <t>HELLO</t>
  </si>
  <si>
    <t>Comment1</t>
  </si>
  <si>
    <t>S</t>
  </si>
  <si>
    <t>Systcomm1</t>
  </si>
  <si>
    <t>Comment2</t>
  </si>
  <si>
    <t>Systcomm2</t>
  </si>
  <si>
    <t xml:space="preserve">N </t>
  </si>
  <si>
    <t>F</t>
  </si>
  <si>
    <t>YES</t>
  </si>
  <si>
    <t>NO</t>
  </si>
  <si>
    <t>DRYBAT</t>
  </si>
  <si>
    <t>V</t>
  </si>
  <si>
    <t>US</t>
  </si>
  <si>
    <t>TEST SKU 1</t>
  </si>
  <si>
    <t>TEST SKU 2</t>
  </si>
  <si>
    <t>DRYCAT</t>
  </si>
  <si>
    <t>Systcomm1xxxx</t>
  </si>
  <si>
    <t>Rebox</t>
  </si>
  <si>
    <t>Test</t>
  </si>
  <si>
    <t>Multi</t>
  </si>
  <si>
    <t>Multi Qty</t>
  </si>
  <si>
    <t>Keyword</t>
  </si>
  <si>
    <t>Tax Code</t>
  </si>
  <si>
    <t xml:space="preserve"> </t>
  </si>
  <si>
    <t>good</t>
  </si>
  <si>
    <t>LENEVO</t>
  </si>
  <si>
    <t>NOTHING</t>
  </si>
  <si>
    <t>TEST</t>
  </si>
  <si>
    <t>HI</t>
  </si>
  <si>
    <t>HOW</t>
  </si>
  <si>
    <t>ARE</t>
  </si>
  <si>
    <t>YOU</t>
  </si>
  <si>
    <t>INCREASE</t>
  </si>
  <si>
    <t xml:space="preserve">INCREASE </t>
  </si>
  <si>
    <t>KK</t>
  </si>
  <si>
    <t>UU</t>
  </si>
  <si>
    <t>Item Action (N=New Sku  P=Price Change  C=Attribute Change  D=Discontinue)</t>
  </si>
  <si>
    <t>Vendor</t>
  </si>
  <si>
    <t>No Returns? (Enter Y to activate)</t>
  </si>
  <si>
    <t>Media</t>
  </si>
  <si>
    <t>Product group</t>
  </si>
  <si>
    <t>CPU group</t>
  </si>
  <si>
    <t>SKU TYP/CONS (general)</t>
  </si>
  <si>
    <t># Of Users</t>
  </si>
  <si>
    <t>Max Alloc</t>
  </si>
  <si>
    <t>Max Alloc Date</t>
  </si>
  <si>
    <t xml:space="preserve">UNSPSC </t>
  </si>
  <si>
    <t>NoCustReturnDate</t>
  </si>
  <si>
    <t>Web Flag</t>
  </si>
  <si>
    <t>NoVendorReturnDate</t>
  </si>
  <si>
    <t>Effective Date</t>
  </si>
  <si>
    <t>Old Retail Price</t>
  </si>
  <si>
    <t xml:space="preserve"> "Row No."</t>
  </si>
  <si>
    <t xml:space="preserve"> "Vend Part Number"</t>
  </si>
  <si>
    <t xml:space="preserve"> "Ingram Sku"</t>
  </si>
  <si>
    <t xml:space="preserve"> "Class"</t>
  </si>
  <si>
    <t xml:space="preserve"> "CS ToolRequest ID"</t>
  </si>
  <si>
    <t xml:space="preserve"> "Impulse Vendor Part Number"</t>
  </si>
  <si>
    <t xml:space="preserve"> "Impulse VC"</t>
  </si>
  <si>
    <t xml:space="preserve"> "Impulse Desc"</t>
  </si>
  <si>
    <t xml:space="preserve"> "Impulse Avg cost"</t>
  </si>
  <si>
    <t xml:space="preserve"> "Desc Line 1 (Max 31 Characters)"</t>
  </si>
  <si>
    <t xml:space="preserve"> "31"</t>
  </si>
  <si>
    <t xml:space="preserve"> "Descrip Line 2 (Max. 35 characters)"</t>
  </si>
  <si>
    <t xml:space="preserve"> "35"</t>
  </si>
  <si>
    <t xml:space="preserve"> "Release Date"</t>
  </si>
  <si>
    <t xml:space="preserve"> "Authorization Required (YorN; if Y, add restrictions to Comments)"</t>
  </si>
  <si>
    <t xml:space="preserve"> "Retail Price"</t>
  </si>
  <si>
    <t xml:space="preserve"> "Repl Cost"</t>
  </si>
  <si>
    <t xml:space="preserve"> "PO Cost"</t>
  </si>
  <si>
    <t xml:space="preserve"> "Case Pack Qty"</t>
  </si>
  <si>
    <t xml:space="preserve"> "media"</t>
  </si>
  <si>
    <t xml:space="preserve"> "Pallet Qty"</t>
  </si>
  <si>
    <t xml:space="preserve"> "Shipping Weight"</t>
  </si>
  <si>
    <t xml:space="preserve"> "UPC Code"</t>
  </si>
  <si>
    <t xml:space="preserve"> "Shipping Length"</t>
  </si>
  <si>
    <t xml:space="preserve"> "Shipping Width"</t>
  </si>
  <si>
    <t xml:space="preserve"> "Shipping Height"</t>
  </si>
  <si>
    <t xml:space="preserve"> "Replaces Vendor Part #"</t>
  </si>
  <si>
    <t xml:space="preserve"> "ECCN"</t>
  </si>
  <si>
    <t xml:space="preserve"> "HTS"</t>
  </si>
  <si>
    <t xml:space="preserve"> "Sec 508 (Yes/No)"</t>
  </si>
  <si>
    <t xml:space="preserve"> "Country of Origin"</t>
  </si>
  <si>
    <t xml:space="preserve"> "Seq number"</t>
  </si>
  <si>
    <t xml:space="preserve"> "media group"</t>
  </si>
  <si>
    <t xml:space="preserve"> "cat sub"</t>
  </si>
  <si>
    <t xml:space="preserve"> "Product Group"</t>
  </si>
  <si>
    <t xml:space="preserve"> "CPU Group"</t>
  </si>
  <si>
    <t xml:space="preserve"> "Velocity Code"</t>
  </si>
  <si>
    <t xml:space="preserve"> "Backorder"</t>
  </si>
  <si>
    <t xml:space="preserve"> "Price Code"</t>
  </si>
  <si>
    <t xml:space="preserve"> "Restricted Code"</t>
  </si>
  <si>
    <t xml:space="preserve"> "Cntrl Stk"</t>
  </si>
  <si>
    <t xml:space="preserve"> "Serial capture"</t>
  </si>
  <si>
    <t xml:space="preserve"> "VC protect"</t>
  </si>
  <si>
    <t xml:space="preserve"> "Type"</t>
  </si>
  <si>
    <t xml:space="preserve"> "Elect"</t>
  </si>
  <si>
    <t xml:space="preserve"> "SKU TYP/CONS (GENERAL)"</t>
  </si>
  <si>
    <t xml:space="preserve"> "SKU TYP/CONS (Outsource)"</t>
  </si>
  <si>
    <t xml:space="preserve"> "Qty Break"</t>
  </si>
  <si>
    <t xml:space="preserve"> "Print PO Daily? (D</t>
  </si>
  <si>
    <t xml:space="preserve"> "No Returns? (enter Y for activation)"</t>
  </si>
  <si>
    <t xml:space="preserve"> "Comments"</t>
  </si>
  <si>
    <t xml:space="preserve"> "eWaste Diagonal Screen Size"</t>
  </si>
  <si>
    <t xml:space="preserve"> "Dealer Price (for Kit &amp; Penny SKUs)"</t>
  </si>
  <si>
    <t xml:space="preserve"> "Refer Direct"</t>
  </si>
  <si>
    <t xml:space="preserve"> "Ser/RMA"</t>
  </si>
  <si>
    <t xml:space="preserve"> "System Comments"</t>
  </si>
  <si>
    <t xml:space="preserve"> "Version"</t>
  </si>
  <si>
    <t xml:space="preserve"> "Catalog"</t>
  </si>
  <si>
    <t xml:space="preserve"> "SE Hold"</t>
  </si>
  <si>
    <t xml:space="preserve"> "MAP"</t>
  </si>
  <si>
    <t xml:space="preserve"> "Disco Date"</t>
  </si>
  <si>
    <t xml:space="preserve"> "Web Visible flag"</t>
  </si>
  <si>
    <t xml:space="preserve"> "Hazmat ID"</t>
  </si>
  <si>
    <t xml:space="preserve"> "Prop 65 (California) Yes/No"</t>
  </si>
  <si>
    <t xml:space="preserve"> "Prop 65 Warning Message"</t>
  </si>
  <si>
    <t xml:space="preserve"> "Virtual or Physical Part (V or P)"</t>
  </si>
  <si>
    <t xml:space="preserve"> "Lead Days (Calendar days it takes to ship after PO submitted)"</t>
  </si>
  <si>
    <t xml:space="preserve"> "Ship From Country"</t>
  </si>
  <si>
    <t xml:space="preserve"> "Ship From Zip Code"</t>
  </si>
  <si>
    <t xml:space="preserve"> "Mins Qty"</t>
  </si>
  <si>
    <t xml:space="preserve"> "Increments DRP Qty"</t>
  </si>
  <si>
    <t xml:space="preserve"> "Vendor # from Vendor"</t>
  </si>
  <si>
    <t xml:space="preserve"> "Vendor # from Ingram"</t>
  </si>
  <si>
    <t xml:space="preserve"> "Vendor Name"</t>
  </si>
  <si>
    <t xml:space="preserve"> "Description"</t>
  </si>
  <si>
    <t xml:space="preserve"> "Avg. Cost From Look-up"</t>
  </si>
  <si>
    <t xml:space="preserve"> "Effective Date Example: 6/2/2003"</t>
  </si>
  <si>
    <t xml:space="preserve"> "New Retail Price"</t>
  </si>
  <si>
    <t xml:space="preserve"> "OLD Retail Price"</t>
  </si>
  <si>
    <t xml:space="preserve"> "New PO Cost"</t>
  </si>
  <si>
    <t xml:space="preserve"> "New Repl Cost"</t>
  </si>
  <si>
    <t xml:space="preserve"> "Old PO Cost"</t>
  </si>
  <si>
    <t xml:space="preserve"> "Old Repl Cost"</t>
  </si>
  <si>
    <t xml:space="preserve"> "PCC (optional)"</t>
  </si>
  <si>
    <t xml:space="preserve"> "Delete Acop?"</t>
  </si>
  <si>
    <t xml:space="preserve"> "Delete IR?"</t>
  </si>
  <si>
    <t xml:space="preserve"> "IR Comments?"</t>
  </si>
  <si>
    <t xml:space="preserve"> "Update  PO?"</t>
  </si>
  <si>
    <t xml:space="preserve"> "BOH"</t>
  </si>
  <si>
    <t xml:space="preserve"> "System Old Repl Cost"</t>
  </si>
  <si>
    <t xml:space="preserve"> "System Old PO Cost"</t>
  </si>
  <si>
    <t xml:space="preserve"> "Confirmation"</t>
  </si>
  <si>
    <t xml:space="preserve"> "Difference?"</t>
  </si>
  <si>
    <t xml:space="preserve"> "Retail Change (Copy Down)"</t>
  </si>
  <si>
    <t xml:space="preserve"> "Distribution Change (Copy Down)"</t>
  </si>
  <si>
    <t xml:space="preserve"> "Increase/Decrease"</t>
  </si>
  <si>
    <t xml:space="preserve"> "Dealer Margin Alert"</t>
  </si>
  <si>
    <t xml:space="preserve"> "Entry Type"</t>
  </si>
  <si>
    <t xml:space="preserve"> "Print Comment"</t>
  </si>
  <si>
    <t xml:space="preserve"> "Change every sku associated with this part number Y/N (Change Only)"</t>
  </si>
  <si>
    <t xml:space="preserve"> "Ingram SKU (if column H</t>
  </si>
  <si>
    <t xml:space="preserve"> "Discontinue Date"</t>
  </si>
  <si>
    <t xml:space="preserve"> "Replacement Part Available? (Y/N)"</t>
  </si>
  <si>
    <t xml:space="preserve"> "Replacement Vendor Part #"</t>
  </si>
  <si>
    <t xml:space="preserve"> "Status"</t>
  </si>
  <si>
    <t xml:space="preserve"> "No Vendor Return Date"</t>
  </si>
  <si>
    <t xml:space="preserve"> "No Cust Return"</t>
  </si>
  <si>
    <t xml:space="preserve"> "No Returns (Y)"</t>
  </si>
  <si>
    <t xml:space="preserve"> "Change Seq to 99?"</t>
  </si>
  <si>
    <t xml:space="preserve"> "New Class"</t>
  </si>
  <si>
    <t xml:space="preserve"> "Prefix"</t>
  </si>
  <si>
    <t xml:space="preserve"> "Sub Part"</t>
  </si>
  <si>
    <t xml:space="preserve"> "Reason Code"</t>
  </si>
  <si>
    <t xml:space="preserve"> "On Hand"</t>
  </si>
  <si>
    <t xml:space="preserve"> "Messages"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</si>
</sst>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0000"/>
    <numFmt numFmtId="165" formatCode="000000"/>
    <numFmt numFmtId="166" formatCode="###,##0.00########"/>
    <numFmt numFmtId="167" formatCode="mm/dd/yy;@"/>
    <numFmt numFmtId="168" formatCode="0.00;[Red]0.00"/>
    <numFmt numFmtId="169" formatCode="&quot;$&quot;#,##0.00"/>
    <numFmt numFmtId="170" formatCode="[$-409]h:mm\ AM/PM;@"/>
    <numFmt numFmtId="171" formatCode="mm/dd/yy"/>
  </numFmts>
  <fonts count="21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theme="0"/>
      <name val="Calibri"/>
      <family val="2"/>
      <scheme val="minor"/>
    </font>
    <font>
      <b/>
      <sz val="10"/>
      <name val="Calibri"/>
      <family val="2"/>
      <scheme val="minor"/>
    </font>
    <font>
      <i/>
      <sz val="10"/>
      <name val="Tw Cen MT"/>
      <family val="2"/>
    </font>
    <font>
      <sz val="10"/>
      <color theme="0"/>
      <name val="Tw Cen MT"/>
      <family val="2"/>
    </font>
    <font>
      <b/>
      <sz val="10"/>
      <color theme="0"/>
      <name val="Arial"/>
      <family val="2"/>
    </font>
    <font>
      <b/>
      <sz val="12"/>
      <color theme="0"/>
      <name val="Calibri"/>
      <family val="2"/>
      <scheme val="minor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sz val="1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name val="Calibri"/>
      <family val="2"/>
    </font>
    <font>
      <b/>
      <sz val="9"/>
      <color indexed="10"/>
      <name val="Calibri"/>
      <family val="2"/>
      <scheme val="minor"/>
    </font>
    <font>
      <sz val="9"/>
      <color indexed="10"/>
      <name val="Calibri"/>
      <family val="2"/>
      <scheme val="minor"/>
    </font>
    <font>
      <sz val="9"/>
      <name val="Calibri"/>
      <family val="2"/>
      <scheme val="minor"/>
    </font>
    <font>
      <b/>
      <sz val="10"/>
      <color indexed="10"/>
      <name val="Calibri"/>
      <family val="2"/>
      <scheme val="minor"/>
    </font>
    <font>
      <sz val="10"/>
      <color indexed="10"/>
      <name val="Calibri"/>
      <family val="2"/>
      <scheme val="minor"/>
    </font>
    <font>
      <b/>
      <sz val="12"/>
      <name val="Calibri"/>
      <family val="2"/>
      <scheme val="minor"/>
    </font>
    <font>
      <b/>
      <sz val="10"/>
      <color indexed="9"/>
      <name val="Calibri"/>
      <family val="2"/>
      <scheme val="minor"/>
    </font>
    <font>
      <sz val="10"/>
      <name val="Tw Cen MT"/>
      <family val="2"/>
    </font>
  </fonts>
  <fills count="1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" fillId="0" borderId="0"/>
  </cellStyleXfs>
  <cellXfs count="130">
    <xf numFmtId="0" fontId="0" fillId="0" borderId="0" xfId="0"/>
    <xf numFmtId="49" fontId="2" fillId="3" borderId="2" xfId="1" applyNumberFormat="1" applyFont="1" applyFill="1" applyBorder="1" applyAlignment="1">
      <alignment horizontal="center" vertical="center" wrapText="1"/>
    </xf>
    <xf numFmtId="0" fontId="3" fillId="2" borderId="1" xfId="1" applyNumberFormat="1" applyFont="1" applyFill="1" applyBorder="1" applyAlignment="1">
      <alignment horizontal="center" vertical="center" wrapText="1"/>
    </xf>
    <xf numFmtId="49" fontId="3" fillId="2" borderId="1" xfId="1" applyNumberFormat="1" applyFont="1" applyFill="1" applyBorder="1" applyAlignment="1">
      <alignment horizontal="center" vertical="center" wrapText="1"/>
    </xf>
    <xf numFmtId="0" fontId="2" fillId="4" borderId="1" xfId="1" applyFont="1" applyFill="1" applyBorder="1" applyAlignment="1">
      <alignment horizontal="center" vertical="center" wrapText="1"/>
    </xf>
    <xf numFmtId="49" fontId="2" fillId="4" borderId="1" xfId="1" applyNumberFormat="1" applyFont="1" applyFill="1" applyBorder="1" applyAlignment="1">
      <alignment horizontal="center" vertical="center" wrapText="1"/>
    </xf>
    <xf numFmtId="0" fontId="2" fillId="4" borderId="3" xfId="1" applyFont="1" applyFill="1" applyBorder="1" applyAlignment="1">
      <alignment horizontal="center" vertical="center" wrapText="1"/>
    </xf>
    <xf numFmtId="0" fontId="2" fillId="4" borderId="3" xfId="1" applyFont="1" applyFill="1" applyBorder="1" applyAlignment="1">
      <alignment horizontal="center" vertical="center" textRotation="90" wrapText="1"/>
    </xf>
    <xf numFmtId="49" fontId="2" fillId="5" borderId="4" xfId="1" applyNumberFormat="1" applyFont="1" applyFill="1" applyBorder="1" applyAlignment="1">
      <alignment horizontal="center" vertical="center" wrapText="1"/>
    </xf>
    <xf numFmtId="0" fontId="4" fillId="0" borderId="0" xfId="0" applyFont="1" applyBorder="1" applyAlignment="1">
      <alignment horizontal="center" vertical="center"/>
    </xf>
    <xf numFmtId="49" fontId="2" fillId="5" borderId="3" xfId="1" applyNumberFormat="1" applyFont="1" applyFill="1" applyBorder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2" fillId="6" borderId="5" xfId="1" applyNumberFormat="1" applyFont="1" applyFill="1" applyBorder="1" applyAlignment="1">
      <alignment horizontal="center" vertical="center" wrapText="1"/>
    </xf>
    <xf numFmtId="0" fontId="2" fillId="6" borderId="6" xfId="1" applyFont="1" applyFill="1" applyBorder="1" applyAlignment="1">
      <alignment horizontal="center" vertical="center" textRotation="90" wrapText="1"/>
    </xf>
    <xf numFmtId="4" fontId="2" fillId="6" borderId="6" xfId="1" applyNumberFormat="1" applyFont="1" applyFill="1" applyBorder="1" applyAlignment="1">
      <alignment horizontal="center" vertical="center" wrapText="1"/>
    </xf>
    <xf numFmtId="49" fontId="2" fillId="6" borderId="6" xfId="1" applyNumberFormat="1" applyFont="1" applyFill="1" applyBorder="1" applyAlignment="1">
      <alignment horizontal="center" vertical="center" wrapText="1"/>
    </xf>
    <xf numFmtId="2" fontId="2" fillId="6" borderId="6" xfId="1" applyNumberFormat="1" applyFont="1" applyFill="1" applyBorder="1" applyAlignment="1">
      <alignment horizontal="center" vertical="center" textRotation="90" wrapText="1"/>
    </xf>
    <xf numFmtId="164" fontId="2" fillId="6" borderId="6" xfId="1" applyNumberFormat="1" applyFont="1" applyFill="1" applyBorder="1" applyAlignment="1">
      <alignment horizontal="center" vertical="center" wrapText="1"/>
    </xf>
    <xf numFmtId="165" fontId="2" fillId="6" borderId="6" xfId="1" applyNumberFormat="1" applyFont="1" applyFill="1" applyBorder="1" applyAlignment="1">
      <alignment horizontal="center" vertical="center" wrapText="1"/>
    </xf>
    <xf numFmtId="2" fontId="2" fillId="6" borderId="6" xfId="1" applyNumberFormat="1" applyFont="1" applyFill="1" applyBorder="1" applyAlignment="1" applyProtection="1">
      <alignment horizontal="center" vertical="center" textRotation="90" wrapText="1"/>
      <protection locked="0"/>
    </xf>
    <xf numFmtId="165" fontId="2" fillId="6" borderId="6" xfId="1" applyNumberFormat="1" applyFont="1" applyFill="1" applyBorder="1" applyAlignment="1" applyProtection="1">
      <alignment horizontal="center" vertical="center" textRotation="90" wrapText="1"/>
      <protection locked="0"/>
    </xf>
    <xf numFmtId="0" fontId="2" fillId="4" borderId="7" xfId="1" applyFont="1" applyFill="1" applyBorder="1" applyAlignment="1">
      <alignment horizontal="center" vertical="center" wrapText="1"/>
    </xf>
    <xf numFmtId="0" fontId="2" fillId="5" borderId="6" xfId="1" applyFont="1" applyFill="1" applyBorder="1" applyAlignment="1">
      <alignment horizontal="center" vertical="center" textRotation="90" wrapText="1"/>
    </xf>
    <xf numFmtId="49" fontId="2" fillId="5" borderId="6" xfId="1" applyNumberFormat="1" applyFont="1" applyFill="1" applyBorder="1" applyAlignment="1">
      <alignment horizontal="center" vertical="center" textRotation="90" wrapText="1"/>
    </xf>
    <xf numFmtId="49" fontId="2" fillId="4" borderId="6" xfId="1" applyNumberFormat="1" applyFont="1" applyFill="1" applyBorder="1" applyAlignment="1">
      <alignment horizontal="center" vertical="center" textRotation="90" wrapText="1"/>
    </xf>
    <xf numFmtId="0" fontId="2" fillId="4" borderId="6" xfId="1" applyFont="1" applyFill="1" applyBorder="1" applyAlignment="1">
      <alignment horizontal="center" vertical="center" textRotation="90" wrapText="1"/>
    </xf>
    <xf numFmtId="164" fontId="2" fillId="4" borderId="6" xfId="1" applyNumberFormat="1" applyFont="1" applyFill="1" applyBorder="1" applyAlignment="1">
      <alignment horizontal="center" vertical="center" textRotation="90" wrapText="1"/>
    </xf>
    <xf numFmtId="0" fontId="2" fillId="4" borderId="6" xfId="1" applyFont="1" applyFill="1" applyBorder="1" applyAlignment="1">
      <alignment horizontal="center" vertical="center" wrapText="1"/>
    </xf>
    <xf numFmtId="0" fontId="5" fillId="4" borderId="6" xfId="0" applyFont="1" applyFill="1" applyBorder="1" applyAlignment="1">
      <alignment vertical="center" wrapText="1"/>
    </xf>
    <xf numFmtId="0" fontId="6" fillId="4" borderId="6" xfId="1" applyFont="1" applyFill="1" applyBorder="1" applyAlignment="1">
      <alignment horizontal="center" vertical="center" wrapText="1"/>
    </xf>
    <xf numFmtId="0" fontId="6" fillId="4" borderId="6" xfId="1" applyFont="1" applyFill="1" applyBorder="1" applyAlignment="1">
      <alignment horizontal="center" vertical="center" textRotation="90" wrapText="1"/>
    </xf>
    <xf numFmtId="0" fontId="6" fillId="5" borderId="8" xfId="1" applyFont="1" applyFill="1" applyBorder="1" applyAlignment="1">
      <alignment horizontal="center" vertical="center" textRotation="90" wrapText="1"/>
    </xf>
    <xf numFmtId="0" fontId="6" fillId="6" borderId="6" xfId="1" applyFont="1" applyFill="1" applyBorder="1" applyAlignment="1">
      <alignment horizontal="center" vertical="center" wrapText="1"/>
    </xf>
    <xf numFmtId="0" fontId="0" fillId="0" borderId="6" xfId="0" applyBorder="1" applyAlignment="1">
      <alignment vertical="center" wrapText="1"/>
    </xf>
    <xf numFmtId="0" fontId="2" fillId="4" borderId="8" xfId="1" applyFont="1" applyFill="1" applyBorder="1" applyAlignment="1">
      <alignment horizontal="center" vertical="center" textRotation="90" wrapText="1"/>
    </xf>
    <xf numFmtId="165" fontId="2" fillId="7" borderId="6" xfId="1" applyNumberFormat="1" applyFont="1" applyFill="1" applyBorder="1" applyAlignment="1" applyProtection="1">
      <alignment horizontal="center" vertical="center" wrapText="1"/>
      <protection locked="0"/>
    </xf>
    <xf numFmtId="0" fontId="7" fillId="4" borderId="8" xfId="1" applyFont="1" applyFill="1" applyBorder="1" applyAlignment="1">
      <alignment horizontal="center" vertical="center" textRotation="90" wrapText="1"/>
    </xf>
    <xf numFmtId="0" fontId="2" fillId="8" borderId="9" xfId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 applyAlignment="1">
      <alignment horizontal="right" vertical="center"/>
    </xf>
    <xf numFmtId="0" fontId="10" fillId="0" borderId="0" xfId="0" applyNumberFormat="1" applyFont="1" applyAlignment="1">
      <alignment horizontal="left" vertical="center"/>
    </xf>
    <xf numFmtId="0" fontId="10" fillId="0" borderId="0" xfId="0" applyFont="1" applyAlignment="1">
      <alignment horizontal="left" vertical="center"/>
    </xf>
    <xf numFmtId="49" fontId="10" fillId="0" borderId="0" xfId="0" applyNumberFormat="1" applyFont="1" applyAlignment="1">
      <alignment horizontal="left" vertical="center"/>
    </xf>
    <xf numFmtId="166" fontId="10" fillId="0" borderId="0" xfId="0" applyNumberFormat="1" applyFont="1" applyAlignment="1">
      <alignment horizontal="right" vertical="center"/>
    </xf>
    <xf numFmtId="0" fontId="10" fillId="0" borderId="0" xfId="0" applyFont="1" applyAlignment="1">
      <alignment vertical="center"/>
    </xf>
    <xf numFmtId="167" fontId="10" fillId="0" borderId="0" xfId="0" applyNumberFormat="1" applyFont="1" applyAlignment="1">
      <alignment horizontal="right" vertical="center"/>
    </xf>
    <xf numFmtId="49" fontId="2" fillId="3" borderId="7" xfId="1" applyNumberFormat="1" applyFont="1" applyFill="1" applyBorder="1" applyAlignment="1">
      <alignment horizontal="center" vertical="center" wrapText="1"/>
    </xf>
    <xf numFmtId="49" fontId="2" fillId="3" borderId="6" xfId="1" applyNumberFormat="1" applyFont="1" applyFill="1" applyBorder="1" applyAlignment="1">
      <alignment horizontal="center" vertical="center" wrapText="1"/>
    </xf>
    <xf numFmtId="49" fontId="2" fillId="3" borderId="6" xfId="1" applyNumberFormat="1" applyFont="1" applyFill="1" applyBorder="1" applyAlignment="1">
      <alignment horizontal="center" vertical="center" textRotation="90" wrapText="1"/>
    </xf>
    <xf numFmtId="164" fontId="3" fillId="0" borderId="6" xfId="1" applyNumberFormat="1" applyFont="1" applyFill="1" applyBorder="1" applyAlignment="1">
      <alignment horizontal="center" vertical="center" wrapText="1"/>
    </xf>
    <xf numFmtId="167" fontId="2" fillId="6" borderId="6" xfId="1" applyNumberFormat="1" applyFont="1" applyFill="1" applyBorder="1" applyAlignment="1">
      <alignment horizontal="center" vertical="center" wrapText="1"/>
    </xf>
    <xf numFmtId="4" fontId="2" fillId="6" borderId="10" xfId="1" applyNumberFormat="1" applyFont="1" applyFill="1" applyBorder="1" applyAlignment="1">
      <alignment horizontal="center" vertical="center" wrapText="1"/>
    </xf>
    <xf numFmtId="168" fontId="2" fillId="4" borderId="6" xfId="1" applyNumberFormat="1" applyFont="1" applyFill="1" applyBorder="1" applyAlignment="1">
      <alignment horizontal="center" vertical="center" textRotation="90" wrapText="1"/>
    </xf>
    <xf numFmtId="168" fontId="2" fillId="9" borderId="6" xfId="1" applyNumberFormat="1" applyFont="1" applyFill="1" applyBorder="1" applyAlignment="1">
      <alignment horizontal="center" vertical="center" textRotation="90" wrapText="1"/>
    </xf>
    <xf numFmtId="4" fontId="2" fillId="6" borderId="6" xfId="0" applyNumberFormat="1" applyFont="1" applyFill="1" applyBorder="1" applyAlignment="1">
      <alignment horizontal="center" vertical="center" textRotation="90" wrapText="1"/>
    </xf>
    <xf numFmtId="4" fontId="2" fillId="6" borderId="6" xfId="0" applyNumberFormat="1" applyFont="1" applyFill="1" applyBorder="1" applyAlignment="1">
      <alignment horizontal="center" vertical="center" wrapText="1"/>
    </xf>
    <xf numFmtId="0" fontId="7" fillId="6" borderId="6" xfId="0" applyFont="1" applyFill="1" applyBorder="1" applyAlignment="1">
      <alignment horizontal="center" vertical="center" wrapText="1"/>
    </xf>
    <xf numFmtId="0" fontId="11" fillId="6" borderId="6" xfId="0" applyFont="1" applyFill="1" applyBorder="1" applyAlignment="1">
      <alignment vertical="center"/>
    </xf>
    <xf numFmtId="0" fontId="10" fillId="0" borderId="6" xfId="0" applyFont="1" applyBorder="1" applyAlignment="1">
      <alignment vertical="center"/>
    </xf>
    <xf numFmtId="168" fontId="2" fillId="3" borderId="8" xfId="1" applyNumberFormat="1" applyFont="1" applyFill="1" applyBorder="1" applyAlignment="1">
      <alignment horizontal="center" vertical="center" wrapText="1"/>
    </xf>
    <xf numFmtId="0" fontId="10" fillId="10" borderId="0" xfId="0" applyFont="1" applyFill="1" applyAlignment="1">
      <alignment horizontal="left" vertical="center"/>
    </xf>
    <xf numFmtId="167" fontId="12" fillId="2" borderId="0" xfId="0" applyNumberFormat="1" applyFont="1" applyFill="1" applyBorder="1" applyAlignment="1">
      <alignment horizontal="right" vertical="center"/>
    </xf>
    <xf numFmtId="0" fontId="10" fillId="0" borderId="0" xfId="0" applyFont="1"/>
    <xf numFmtId="49" fontId="10" fillId="11" borderId="0" xfId="0" applyNumberFormat="1" applyFont="1" applyFill="1"/>
    <xf numFmtId="0" fontId="10" fillId="11" borderId="0" xfId="0" applyFont="1" applyFill="1"/>
    <xf numFmtId="167" fontId="10" fillId="11" borderId="0" xfId="0" applyNumberFormat="1" applyFont="1" applyFill="1"/>
    <xf numFmtId="0" fontId="3" fillId="11" borderId="2" xfId="1" applyFont="1" applyFill="1" applyBorder="1" applyAlignment="1">
      <alignment horizontal="left" vertical="center" wrapText="1"/>
    </xf>
    <xf numFmtId="167" fontId="3" fillId="0" borderId="11" xfId="1" applyNumberFormat="1" applyFont="1" applyFill="1" applyBorder="1" applyAlignment="1">
      <alignment horizontal="center" vertical="center"/>
    </xf>
    <xf numFmtId="169" fontId="3" fillId="11" borderId="2" xfId="1" applyNumberFormat="1" applyFont="1" applyFill="1" applyBorder="1" applyAlignment="1">
      <alignment horizontal="left" vertical="center" wrapText="1"/>
    </xf>
    <xf numFmtId="49" fontId="13" fillId="11" borderId="0" xfId="0" applyNumberFormat="1" applyFont="1" applyFill="1"/>
    <xf numFmtId="49" fontId="14" fillId="11" borderId="0" xfId="0" applyNumberFormat="1" applyFont="1" applyFill="1"/>
    <xf numFmtId="0" fontId="13" fillId="11" borderId="0" xfId="0" applyFont="1" applyFill="1"/>
    <xf numFmtId="0" fontId="15" fillId="11" borderId="0" xfId="0" applyFont="1" applyFill="1"/>
    <xf numFmtId="167" fontId="15" fillId="11" borderId="0" xfId="0" applyNumberFormat="1" applyFont="1" applyFill="1"/>
    <xf numFmtId="167" fontId="3" fillId="11" borderId="2" xfId="1" applyNumberFormat="1" applyFont="1" applyFill="1" applyBorder="1" applyAlignment="1">
      <alignment horizontal="left" vertical="center" wrapText="1"/>
    </xf>
    <xf numFmtId="170" fontId="3" fillId="0" borderId="11" xfId="1" applyNumberFormat="1" applyFont="1" applyFill="1" applyBorder="1" applyAlignment="1">
      <alignment horizontal="center" vertical="center"/>
    </xf>
    <xf numFmtId="169" fontId="3" fillId="11" borderId="2" xfId="1" applyNumberFormat="1" applyFont="1" applyFill="1" applyBorder="1" applyAlignment="1">
      <alignment horizontal="left" vertical="center"/>
    </xf>
    <xf numFmtId="170" fontId="3" fillId="11" borderId="11" xfId="1" applyNumberFormat="1" applyFont="1" applyFill="1" applyBorder="1" applyAlignment="1">
      <alignment horizontal="left" vertical="center"/>
    </xf>
    <xf numFmtId="0" fontId="16" fillId="11" borderId="0" xfId="0" applyFont="1" applyFill="1"/>
    <xf numFmtId="167" fontId="10" fillId="0" borderId="0" xfId="0" applyNumberFormat="1" applyFont="1" applyAlignment="1">
      <alignment horizontal="left" vertical="center"/>
    </xf>
    <xf numFmtId="166" fontId="10" fillId="0" borderId="0" xfId="0" applyNumberFormat="1" applyFont="1" applyAlignment="1">
      <alignment vertical="center"/>
    </xf>
    <xf numFmtId="4" fontId="10" fillId="11" borderId="0" xfId="0" applyNumberFormat="1" applyFont="1" applyFill="1"/>
    <xf numFmtId="0" fontId="10" fillId="11" borderId="0" xfId="0" applyFont="1" applyFill="1" applyAlignment="1">
      <alignment horizontal="left"/>
    </xf>
    <xf numFmtId="0" fontId="16" fillId="11" borderId="0" xfId="0" applyFont="1" applyFill="1" applyBorder="1" applyAlignment="1"/>
    <xf numFmtId="167" fontId="17" fillId="11" borderId="0" xfId="0" applyNumberFormat="1" applyFont="1" applyFill="1"/>
    <xf numFmtId="0" fontId="16" fillId="11" borderId="0" xfId="0" applyFont="1" applyFill="1" applyAlignment="1">
      <alignment horizontal="left"/>
    </xf>
    <xf numFmtId="49" fontId="3" fillId="11" borderId="2" xfId="1" applyNumberFormat="1" applyFont="1" applyFill="1" applyBorder="1" applyAlignment="1">
      <alignment horizontal="center" vertical="center" wrapText="1"/>
    </xf>
    <xf numFmtId="49" fontId="2" fillId="4" borderId="1" xfId="1" applyNumberFormat="1" applyFont="1" applyFill="1" applyBorder="1" applyAlignment="1">
      <alignment horizontal="center" vertical="center" textRotation="90" wrapText="1"/>
    </xf>
    <xf numFmtId="0" fontId="2" fillId="4" borderId="5" xfId="1" applyFont="1" applyFill="1" applyBorder="1" applyAlignment="1">
      <alignment horizontal="center" vertical="center" wrapText="1"/>
    </xf>
    <xf numFmtId="4" fontId="2" fillId="4" borderId="6" xfId="1" applyNumberFormat="1" applyFont="1" applyFill="1" applyBorder="1" applyAlignment="1">
      <alignment horizontal="center" vertical="center" wrapText="1"/>
    </xf>
    <xf numFmtId="4" fontId="2" fillId="4" borderId="6" xfId="1" applyNumberFormat="1" applyFont="1" applyFill="1" applyBorder="1" applyAlignment="1">
      <alignment horizontal="center" vertical="center" textRotation="90" wrapText="1"/>
    </xf>
    <xf numFmtId="167" fontId="19" fillId="6" borderId="6" xfId="1" applyNumberFormat="1" applyFont="1" applyFill="1" applyBorder="1" applyAlignment="1">
      <alignment horizontal="center" vertical="center" wrapText="1"/>
    </xf>
    <xf numFmtId="167" fontId="19" fillId="6" borderId="6" xfId="1" applyNumberFormat="1" applyFont="1" applyFill="1" applyBorder="1" applyAlignment="1">
      <alignment horizontal="center" vertical="center" textRotation="90" wrapText="1"/>
    </xf>
    <xf numFmtId="165" fontId="19" fillId="6" borderId="6" xfId="1" applyNumberFormat="1" applyFont="1" applyFill="1" applyBorder="1" applyAlignment="1">
      <alignment horizontal="center" vertical="center" wrapText="1"/>
    </xf>
    <xf numFmtId="4" fontId="2" fillId="4" borderId="10" xfId="0" applyNumberFormat="1" applyFont="1" applyFill="1" applyBorder="1" applyAlignment="1">
      <alignment horizontal="center" vertical="center" wrapText="1"/>
    </xf>
    <xf numFmtId="167" fontId="2" fillId="4" borderId="10" xfId="0" applyNumberFormat="1" applyFont="1" applyFill="1" applyBorder="1" applyAlignment="1">
      <alignment horizontal="center" vertical="center" wrapText="1"/>
    </xf>
    <xf numFmtId="171" fontId="2" fillId="4" borderId="10" xfId="0" applyNumberFormat="1" applyFont="1" applyFill="1" applyBorder="1" applyAlignment="1">
      <alignment horizontal="center" vertical="center" wrapText="1"/>
    </xf>
    <xf numFmtId="4" fontId="2" fillId="4" borderId="6" xfId="0" applyNumberFormat="1" applyFont="1" applyFill="1" applyBorder="1" applyAlignment="1">
      <alignment horizontal="left" vertical="center" wrapText="1"/>
    </xf>
    <xf numFmtId="4" fontId="2" fillId="4" borderId="6" xfId="0" applyNumberFormat="1" applyFont="1" applyFill="1" applyBorder="1" applyAlignment="1">
      <alignment horizontal="center" vertical="center" wrapText="1"/>
    </xf>
    <xf numFmtId="4" fontId="3" fillId="0" borderId="6" xfId="0" applyNumberFormat="1" applyFont="1" applyFill="1" applyBorder="1" applyAlignment="1">
      <alignment horizontal="center" vertical="center" wrapText="1"/>
    </xf>
    <xf numFmtId="0" fontId="2" fillId="12" borderId="6" xfId="1" applyFont="1" applyFill="1" applyBorder="1" applyAlignment="1">
      <alignment horizontal="center" vertical="center" textRotation="90" wrapText="1"/>
    </xf>
    <xf numFmtId="0" fontId="2" fillId="12" borderId="8" xfId="1" applyFont="1" applyFill="1" applyBorder="1" applyAlignment="1">
      <alignment horizontal="center" vertical="center" textRotation="90" wrapText="1"/>
    </xf>
    <xf numFmtId="0" fontId="12" fillId="0" borderId="0" xfId="0" applyFont="1" applyFill="1" applyBorder="1" applyAlignment="1">
      <alignment horizontal="right" vertical="center"/>
    </xf>
    <xf numFmtId="49" fontId="12" fillId="0" borderId="0" xfId="0" applyNumberFormat="1" applyFont="1" applyFill="1" applyBorder="1" applyAlignment="1">
      <alignment horizontal="left" vertical="center"/>
    </xf>
    <xf numFmtId="0" fontId="12" fillId="10" borderId="0" xfId="0" applyFont="1" applyFill="1" applyBorder="1" applyAlignment="1">
      <alignment vertical="center"/>
    </xf>
    <xf numFmtId="166" fontId="12" fillId="13" borderId="0" xfId="0" applyNumberFormat="1" applyFont="1" applyFill="1" applyBorder="1" applyAlignment="1">
      <alignment horizontal="right" vertical="center"/>
    </xf>
    <xf numFmtId="0" fontId="12" fillId="0" borderId="0" xfId="0" applyFont="1" applyFill="1" applyBorder="1" applyAlignment="1">
      <alignment vertical="center"/>
    </xf>
    <xf numFmtId="167" fontId="12" fillId="10" borderId="0" xfId="0" applyNumberFormat="1" applyFont="1" applyFill="1" applyBorder="1" applyAlignment="1">
      <alignment vertical="center"/>
    </xf>
    <xf numFmtId="0" fontId="12" fillId="0" borderId="0" xfId="0" applyFont="1" applyAlignment="1">
      <alignment vertical="center"/>
    </xf>
    <xf numFmtId="0" fontId="20" fillId="0" borderId="0" xfId="0" applyFont="1" applyAlignment="1">
      <alignment horizontal="right" vertical="center"/>
    </xf>
    <xf numFmtId="0" fontId="20" fillId="0" borderId="0" xfId="0" applyFont="1" applyAlignment="1">
      <alignment horizontal="left" vertical="center"/>
    </xf>
    <xf numFmtId="166" fontId="20" fillId="0" borderId="0" xfId="0" applyNumberFormat="1" applyFont="1" applyAlignment="1">
      <alignment horizontal="right" vertical="center"/>
    </xf>
    <xf numFmtId="0" fontId="20" fillId="0" borderId="0" xfId="0" applyFont="1" applyAlignment="1">
      <alignment vertical="center"/>
    </xf>
    <xf numFmtId="167" fontId="20" fillId="0" borderId="0" xfId="0" applyNumberFormat="1" applyFont="1" applyAlignment="1">
      <alignment horizontal="right" vertical="center"/>
    </xf>
    <xf numFmtId="167" fontId="12" fillId="0" borderId="0" xfId="0" applyNumberFormat="1" applyFont="1" applyFill="1" applyBorder="1" applyAlignment="1">
      <alignment vertical="center"/>
    </xf>
    <xf numFmtId="0" fontId="12" fillId="0" borderId="0" xfId="0" applyFont="1" applyAlignment="1">
      <alignment horizontal="right" vertical="center"/>
    </xf>
    <xf numFmtId="49" fontId="12" fillId="0" borderId="0" xfId="0" applyNumberFormat="1" applyFont="1" applyAlignment="1">
      <alignment horizontal="left" vertical="center"/>
    </xf>
    <xf numFmtId="0" fontId="12" fillId="0" borderId="0" xfId="0" applyFont="1" applyAlignment="1">
      <alignment horizontal="left" vertical="center"/>
    </xf>
    <xf numFmtId="166" fontId="12" fillId="0" borderId="0" xfId="0" applyNumberFormat="1" applyFont="1" applyAlignment="1">
      <alignment horizontal="right" vertical="center"/>
    </xf>
    <xf numFmtId="167" fontId="12" fillId="0" borderId="0" xfId="0" applyNumberFormat="1" applyFont="1" applyAlignment="1">
      <alignment horizontal="right" vertical="center"/>
    </xf>
    <xf numFmtId="167" fontId="12" fillId="0" borderId="0" xfId="0" applyNumberFormat="1" applyFont="1" applyAlignment="1">
      <alignment vertical="center"/>
    </xf>
    <xf numFmtId="14" fontId="0" fillId="0" borderId="0" xfId="0" applyNumberFormat="1"/>
    <xf numFmtId="14" fontId="10" fillId="10" borderId="0" xfId="0" applyNumberFormat="1" applyFont="1" applyFill="1" applyAlignment="1">
      <alignment horizontal="left" vertical="center"/>
    </xf>
    <xf numFmtId="0" fontId="16" fillId="11" borderId="0" xfId="0" applyFont="1" applyFill="1" applyBorder="1" applyAlignment="1">
      <alignment horizontal="center"/>
    </xf>
    <xf numFmtId="4" fontId="18" fillId="11" borderId="2" xfId="0" applyNumberFormat="1" applyFont="1" applyFill="1" applyBorder="1" applyAlignment="1">
      <alignment horizontal="center" wrapText="1"/>
    </xf>
    <xf numFmtId="4" fontId="18" fillId="11" borderId="12" xfId="0" applyNumberFormat="1" applyFont="1" applyFill="1" applyBorder="1" applyAlignment="1">
      <alignment horizontal="center" wrapText="1"/>
    </xf>
    <xf numFmtId="4" fontId="18" fillId="11" borderId="11" xfId="0" applyNumberFormat="1" applyFont="1" applyFill="1" applyBorder="1" applyAlignment="1">
      <alignment horizontal="center" wrapText="1"/>
    </xf>
    <xf numFmtId="0" fontId="0" fillId="2" borderId="0" xfId="0" applyFill="1"/>
    <xf numFmtId="0" fontId="0" fillId="14" borderId="0" xfId="0" applyFill="1"/>
    <xf numFmtId="0" fontId="0" fillId="14" borderId="1" xfId="0" applyFill="1" applyBorder="1"/>
  </cellXfs>
  <cellStyles count="2">
    <cellStyle name="Normal" xfId="0" builtinId="0"/>
    <cellStyle name="Normal_New Product Set Upatest" xfId="1" xr:uid="{7BB34B02-FE86-4391-A8F7-C1878656C9A9}"/>
  </cellStyles>
  <dxfs count="68">
    <dxf>
      <font>
        <color auto="1"/>
      </font>
      <fill>
        <patternFill>
          <bgColor theme="5" tint="0.59996337778862885"/>
        </patternFill>
      </fill>
    </dxf>
    <dxf>
      <font>
        <color auto="1"/>
      </font>
      <fill>
        <patternFill>
          <bgColor theme="5" tint="0.59996337778862885"/>
        </patternFill>
      </fill>
    </dxf>
    <dxf>
      <font>
        <color auto="1"/>
      </font>
      <fill>
        <patternFill>
          <bgColor theme="5" tint="0.59996337778862885"/>
        </patternFill>
      </fill>
    </dxf>
    <dxf>
      <font>
        <color auto="1"/>
      </font>
      <fill>
        <patternFill>
          <bgColor theme="5" tint="0.59996337778862885"/>
        </patternFill>
      </fill>
    </dxf>
    <dxf>
      <font>
        <color auto="1"/>
      </font>
      <fill>
        <patternFill>
          <bgColor theme="5" tint="0.59996337778862885"/>
        </patternFill>
      </fill>
    </dxf>
    <dxf>
      <font>
        <color auto="1"/>
      </font>
      <fill>
        <patternFill>
          <bgColor theme="5" tint="0.59996337778862885"/>
        </patternFill>
      </fill>
    </dxf>
    <dxf>
      <font>
        <color auto="1"/>
      </font>
      <fill>
        <patternFill>
          <bgColor theme="5" tint="0.59996337778862885"/>
        </patternFill>
      </fill>
    </dxf>
    <dxf>
      <font>
        <color auto="1"/>
      </font>
      <fill>
        <patternFill>
          <bgColor theme="5" tint="0.59996337778862885"/>
        </patternFill>
      </fill>
    </dxf>
    <dxf>
      <font>
        <color auto="1"/>
      </font>
      <fill>
        <patternFill>
          <bgColor theme="5" tint="0.59996337778862885"/>
        </patternFill>
      </fill>
    </dxf>
    <dxf>
      <font>
        <color auto="1"/>
      </font>
      <fill>
        <patternFill>
          <bgColor theme="5" tint="0.59996337778862885"/>
        </patternFill>
      </fill>
    </dxf>
    <dxf>
      <font>
        <color auto="1"/>
      </font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theme="5" tint="0.59996337778862885"/>
        </patternFill>
      </fill>
    </dxf>
    <dxf>
      <font>
        <b/>
        <i val="0"/>
      </font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ont>
        <color rgb="FFC00000"/>
      </font>
    </dxf>
    <dxf>
      <font>
        <color auto="1"/>
      </font>
      <fill>
        <patternFill>
          <bgColor theme="5" tint="0.59996337778862885"/>
        </patternFill>
      </fill>
    </dxf>
    <dxf>
      <font>
        <color auto="1"/>
      </font>
      <fill>
        <patternFill>
          <bgColor theme="5" tint="0.59996337778862885"/>
        </patternFill>
      </fill>
    </dxf>
    <dxf>
      <font>
        <color auto="1"/>
      </font>
      <fill>
        <patternFill>
          <bgColor theme="5" tint="0.59996337778862885"/>
        </patternFill>
      </fill>
    </dxf>
    <dxf>
      <font>
        <color auto="1"/>
      </font>
      <fill>
        <patternFill>
          <bgColor theme="5" tint="0.59996337778862885"/>
        </patternFill>
      </fill>
    </dxf>
    <dxf>
      <font>
        <color auto="1"/>
      </font>
      <fill>
        <patternFill>
          <bgColor theme="5" tint="0.59996337778862885"/>
        </patternFill>
      </fill>
    </dxf>
    <dxf>
      <font>
        <color auto="1"/>
      </font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ont>
        <color rgb="FFC00000"/>
      </font>
    </dxf>
    <dxf>
      <font>
        <color auto="1"/>
      </font>
      <fill>
        <patternFill>
          <bgColor theme="5" tint="0.59996337778862885"/>
        </patternFill>
      </fill>
    </dxf>
    <dxf>
      <font>
        <color auto="1"/>
      </font>
      <fill>
        <patternFill>
          <bgColor theme="5" tint="0.59996337778862885"/>
        </patternFill>
      </fill>
    </dxf>
    <dxf>
      <font>
        <color auto="1"/>
      </font>
      <fill>
        <patternFill>
          <bgColor theme="5" tint="0.59996337778862885"/>
        </patternFill>
      </fill>
    </dxf>
    <dxf>
      <font>
        <color auto="1"/>
      </font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ont>
        <color rgb="FFC0000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ushuqt00/AppData/Local/Microsoft/Windows/INetCache/Content.Outlook/A9LC3LJ4/IBM%206XZ355_New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ntry"/>
      <sheetName val="MainList"/>
      <sheetName val="New SKU (1)"/>
      <sheetName val="Price Change"/>
      <sheetName val="NSKU"/>
      <sheetName val="SKU Change"/>
      <sheetName val="Discontinuation"/>
      <sheetName val="Special Circumstances"/>
      <sheetName val="CommonReplacements"/>
      <sheetName val="Dealer Margin List"/>
      <sheetName val="Country of Origin Code List"/>
      <sheetName val="SKU_Listing"/>
      <sheetName val="ALC_Listing"/>
      <sheetName val="Screensize"/>
      <sheetName val="MediaCode"/>
      <sheetName val="LAVendors"/>
    </sheetNames>
    <sheetDataSet>
      <sheetData sheetId="0">
        <row r="1">
          <cell r="F1" t="str">
            <v>Received Date:</v>
          </cell>
          <cell r="H1" t="str">
            <v>Requested Entry Date:</v>
          </cell>
          <cell r="J1" t="str">
            <v>Revised Rec'd Date:</v>
          </cell>
        </row>
        <row r="2">
          <cell r="F2" t="str">
            <v>Received Time (PST):</v>
          </cell>
          <cell r="J2" t="str">
            <v>Revised Time (PST):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70B2D9-2EC6-4B4C-A477-45A8F4496E6A}">
  <sheetPr codeName="Sheet2"/>
  <dimension ref="A1:DL11"/>
  <sheetViews>
    <sheetView workbookViewId="0">
      <selection activeCell="L4" sqref="L4"/>
    </sheetView>
  </sheetViews>
  <sheetFormatPr defaultRowHeight="14.5" x14ac:dyDescent="0.35"/>
  <sheetData>
    <row r="1" spans="1:116" x14ac:dyDescent="0.35">
      <c r="A1" t="s">
        <v>5</v>
      </c>
      <c r="B1" t="s">
        <v>2</v>
      </c>
      <c r="C1" t="s">
        <v>3</v>
      </c>
      <c r="D1" t="s">
        <v>4</v>
      </c>
      <c r="E1" t="s">
        <v>130</v>
      </c>
      <c r="F1" t="s">
        <v>6</v>
      </c>
      <c r="G1" t="s">
        <v>7</v>
      </c>
      <c r="H1" t="s">
        <v>9</v>
      </c>
      <c r="I1" t="s">
        <v>10</v>
      </c>
      <c r="J1" t="s">
        <v>11</v>
      </c>
      <c r="K1">
        <v>31</v>
      </c>
      <c r="L1" t="s">
        <v>12</v>
      </c>
      <c r="M1">
        <v>35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131</v>
      </c>
      <c r="Z1" t="s">
        <v>25</v>
      </c>
      <c r="AA1" t="s">
        <v>26</v>
      </c>
      <c r="AB1" t="s">
        <v>27</v>
      </c>
      <c r="AC1" t="s">
        <v>28</v>
      </c>
      <c r="AD1" t="s">
        <v>29</v>
      </c>
      <c r="AE1" t="s">
        <v>30</v>
      </c>
      <c r="AF1" t="s">
        <v>31</v>
      </c>
      <c r="AG1" t="s">
        <v>32</v>
      </c>
      <c r="AH1" t="s">
        <v>33</v>
      </c>
      <c r="AI1" t="s">
        <v>34</v>
      </c>
      <c r="AJ1" t="s">
        <v>35</v>
      </c>
      <c r="AK1" t="s">
        <v>36</v>
      </c>
      <c r="AL1" t="s">
        <v>37</v>
      </c>
      <c r="AM1" t="s">
        <v>38</v>
      </c>
      <c r="AN1" t="s">
        <v>39</v>
      </c>
      <c r="AO1" t="s">
        <v>40</v>
      </c>
      <c r="AP1" t="s">
        <v>41</v>
      </c>
      <c r="AQ1" t="s">
        <v>42</v>
      </c>
      <c r="AR1" t="s">
        <v>43</v>
      </c>
      <c r="AS1" t="s">
        <v>44</v>
      </c>
      <c r="AT1" t="s">
        <v>45</v>
      </c>
      <c r="AU1" t="s">
        <v>46</v>
      </c>
      <c r="AV1" t="s">
        <v>47</v>
      </c>
      <c r="AW1" t="s">
        <v>48</v>
      </c>
      <c r="AX1" t="s">
        <v>49</v>
      </c>
      <c r="AY1" t="s">
        <v>50</v>
      </c>
      <c r="AZ1" t="s">
        <v>51</v>
      </c>
      <c r="BA1" t="s">
        <v>52</v>
      </c>
      <c r="BB1" t="s">
        <v>53</v>
      </c>
      <c r="BC1" t="s">
        <v>54</v>
      </c>
      <c r="BD1" t="s">
        <v>55</v>
      </c>
      <c r="BE1" t="s">
        <v>56</v>
      </c>
      <c r="BF1" t="s">
        <v>57</v>
      </c>
      <c r="BG1" t="s">
        <v>58</v>
      </c>
      <c r="BH1" t="s">
        <v>59</v>
      </c>
      <c r="BI1" t="s">
        <v>60</v>
      </c>
      <c r="BJ1" t="s">
        <v>132</v>
      </c>
      <c r="BK1" t="s">
        <v>62</v>
      </c>
      <c r="BL1" t="s">
        <v>63</v>
      </c>
      <c r="BM1" t="s">
        <v>64</v>
      </c>
      <c r="BN1" t="s">
        <v>65</v>
      </c>
      <c r="BO1" t="s">
        <v>66</v>
      </c>
      <c r="BP1" t="s">
        <v>67</v>
      </c>
      <c r="BQ1" t="s">
        <v>68</v>
      </c>
      <c r="BR1" t="s">
        <v>69</v>
      </c>
      <c r="BS1" t="s">
        <v>70</v>
      </c>
      <c r="BT1" t="s">
        <v>84</v>
      </c>
      <c r="BU1" t="s">
        <v>85</v>
      </c>
      <c r="BV1" t="s">
        <v>1</v>
      </c>
      <c r="BW1" t="s">
        <v>86</v>
      </c>
      <c r="BX1" t="s">
        <v>87</v>
      </c>
      <c r="BY1" t="s">
        <v>90</v>
      </c>
      <c r="BZ1" t="s">
        <v>91</v>
      </c>
      <c r="CA1" t="s">
        <v>92</v>
      </c>
      <c r="CB1" t="s">
        <v>93</v>
      </c>
      <c r="CC1" t="s">
        <v>94</v>
      </c>
      <c r="CD1" t="s">
        <v>95</v>
      </c>
      <c r="CE1" t="s">
        <v>96</v>
      </c>
      <c r="CF1" t="s">
        <v>97</v>
      </c>
      <c r="CG1" t="s">
        <v>98</v>
      </c>
      <c r="CH1" t="s">
        <v>99</v>
      </c>
      <c r="CI1" t="s">
        <v>133</v>
      </c>
      <c r="CJ1" t="s">
        <v>101</v>
      </c>
      <c r="CK1" t="s">
        <v>102</v>
      </c>
      <c r="CL1" t="s">
        <v>103</v>
      </c>
      <c r="CM1" t="s">
        <v>104</v>
      </c>
      <c r="CN1" t="s">
        <v>105</v>
      </c>
      <c r="CO1" t="s">
        <v>106</v>
      </c>
      <c r="CP1" t="s">
        <v>107</v>
      </c>
      <c r="CQ1" t="s">
        <v>108</v>
      </c>
      <c r="CR1" t="s">
        <v>109</v>
      </c>
      <c r="CS1" t="s">
        <v>110</v>
      </c>
      <c r="CT1" t="s">
        <v>111</v>
      </c>
      <c r="CU1" t="s">
        <v>112</v>
      </c>
      <c r="CV1" t="s">
        <v>88</v>
      </c>
      <c r="CW1" t="s">
        <v>89</v>
      </c>
      <c r="CX1" t="s">
        <v>116</v>
      </c>
      <c r="CY1" t="s">
        <v>117</v>
      </c>
      <c r="CZ1" t="s">
        <v>118</v>
      </c>
      <c r="DA1" t="s">
        <v>119</v>
      </c>
      <c r="DB1" t="s">
        <v>120</v>
      </c>
      <c r="DC1" t="s">
        <v>121</v>
      </c>
      <c r="DD1" t="s">
        <v>122</v>
      </c>
      <c r="DE1" t="s">
        <v>123</v>
      </c>
      <c r="DF1" t="s">
        <v>124</v>
      </c>
      <c r="DG1" t="s">
        <v>125</v>
      </c>
      <c r="DH1" t="s">
        <v>126</v>
      </c>
      <c r="DI1" t="s">
        <v>127</v>
      </c>
      <c r="DJ1" t="s">
        <v>128</v>
      </c>
      <c r="DK1" t="s">
        <v>129</v>
      </c>
      <c r="DL1" t="s">
        <v>119</v>
      </c>
    </row>
    <row r="2" spans="1:116" x14ac:dyDescent="0.35">
      <c r="A2">
        <v>6</v>
      </c>
      <c r="B2" t="s">
        <v>72</v>
      </c>
      <c r="C2" t="s">
        <v>75</v>
      </c>
      <c r="D2" t="s">
        <v>77</v>
      </c>
      <c r="E2">
        <v>92780</v>
      </c>
      <c r="F2" t="s">
        <v>72</v>
      </c>
      <c r="G2" t="s">
        <v>74</v>
      </c>
      <c r="H2" t="s">
        <v>76</v>
      </c>
      <c r="I2">
        <v>31792</v>
      </c>
      <c r="J2" t="s">
        <v>78</v>
      </c>
      <c r="L2" t="s">
        <v>79</v>
      </c>
      <c r="N2" s="121">
        <v>43746</v>
      </c>
      <c r="P2">
        <v>31800</v>
      </c>
      <c r="Q2">
        <v>29256</v>
      </c>
      <c r="R2">
        <v>29256</v>
      </c>
      <c r="S2">
        <v>1</v>
      </c>
      <c r="T2" t="s">
        <v>135</v>
      </c>
      <c r="U2">
        <v>3</v>
      </c>
      <c r="V2">
        <v>100</v>
      </c>
      <c r="W2">
        <v>999999</v>
      </c>
      <c r="X2">
        <v>1</v>
      </c>
      <c r="Y2">
        <v>0.5</v>
      </c>
      <c r="Z2">
        <v>0.25</v>
      </c>
      <c r="AA2" t="s">
        <v>137</v>
      </c>
      <c r="AB2" t="s">
        <v>139</v>
      </c>
      <c r="AC2" t="s">
        <v>144</v>
      </c>
      <c r="AD2" t="s">
        <v>140</v>
      </c>
      <c r="AE2" t="s">
        <v>141</v>
      </c>
      <c r="AF2">
        <v>5</v>
      </c>
      <c r="AG2" t="s">
        <v>146</v>
      </c>
      <c r="AH2">
        <v>2010</v>
      </c>
      <c r="AI2">
        <v>0</v>
      </c>
      <c r="AJ2" t="s">
        <v>147</v>
      </c>
      <c r="AK2">
        <v>1</v>
      </c>
      <c r="AL2" t="s">
        <v>148</v>
      </c>
      <c r="AM2" t="s">
        <v>149</v>
      </c>
      <c r="AN2" t="s">
        <v>149</v>
      </c>
      <c r="AO2" t="s">
        <v>150</v>
      </c>
      <c r="AP2" t="s">
        <v>148</v>
      </c>
      <c r="AQ2" t="s">
        <v>159</v>
      </c>
      <c r="AR2" t="s">
        <v>155</v>
      </c>
      <c r="AS2" t="s">
        <v>148</v>
      </c>
      <c r="AT2" t="s">
        <v>155</v>
      </c>
      <c r="AU2" t="s">
        <v>148</v>
      </c>
      <c r="AV2" t="s">
        <v>152</v>
      </c>
      <c r="AW2" t="s">
        <v>156</v>
      </c>
      <c r="AX2" t="s">
        <v>148</v>
      </c>
      <c r="AY2" t="s">
        <v>161</v>
      </c>
      <c r="BB2">
        <v>10</v>
      </c>
      <c r="BC2" t="s">
        <v>168</v>
      </c>
      <c r="BD2" t="s">
        <v>162</v>
      </c>
      <c r="BE2" t="s">
        <v>163</v>
      </c>
      <c r="BG2" t="s">
        <v>77</v>
      </c>
      <c r="BH2" t="s">
        <v>173</v>
      </c>
      <c r="BI2" t="s">
        <v>148</v>
      </c>
      <c r="BJ2" t="s">
        <v>168</v>
      </c>
      <c r="BK2">
        <v>12519</v>
      </c>
      <c r="BL2" t="s">
        <v>148</v>
      </c>
      <c r="BN2" t="s">
        <v>170</v>
      </c>
      <c r="BO2" t="s">
        <v>168</v>
      </c>
      <c r="BP2" t="s">
        <v>169</v>
      </c>
      <c r="BQ2" t="s">
        <v>171</v>
      </c>
      <c r="BR2">
        <v>1</v>
      </c>
      <c r="BS2" t="s">
        <v>172</v>
      </c>
    </row>
    <row r="3" spans="1:116" x14ac:dyDescent="0.35">
      <c r="A3">
        <v>6</v>
      </c>
      <c r="B3" t="s">
        <v>72</v>
      </c>
      <c r="C3" t="s">
        <v>80</v>
      </c>
      <c r="D3" t="s">
        <v>77</v>
      </c>
      <c r="E3">
        <v>92780</v>
      </c>
      <c r="F3" t="s">
        <v>72</v>
      </c>
      <c r="G3" t="s">
        <v>134</v>
      </c>
      <c r="H3" t="s">
        <v>76</v>
      </c>
      <c r="I3">
        <v>605368.07999999996</v>
      </c>
      <c r="J3" t="s">
        <v>78</v>
      </c>
      <c r="L3" t="s">
        <v>79</v>
      </c>
      <c r="N3" s="121">
        <v>43746</v>
      </c>
      <c r="P3">
        <v>31800</v>
      </c>
      <c r="Q3">
        <v>29256</v>
      </c>
      <c r="R3">
        <v>29256</v>
      </c>
      <c r="S3">
        <v>2</v>
      </c>
      <c r="T3" t="s">
        <v>136</v>
      </c>
      <c r="U3">
        <v>4</v>
      </c>
      <c r="V3">
        <v>200</v>
      </c>
      <c r="W3">
        <v>999998</v>
      </c>
      <c r="X3">
        <v>2</v>
      </c>
      <c r="Y3">
        <v>0.75</v>
      </c>
      <c r="Z3">
        <v>0.47</v>
      </c>
      <c r="AA3" t="s">
        <v>138</v>
      </c>
      <c r="AB3" t="s">
        <v>140</v>
      </c>
      <c r="AC3" t="s">
        <v>145</v>
      </c>
      <c r="AD3" t="s">
        <v>139</v>
      </c>
      <c r="AE3" t="s">
        <v>141</v>
      </c>
      <c r="AF3">
        <v>3</v>
      </c>
      <c r="AG3" t="s">
        <v>146</v>
      </c>
      <c r="AH3">
        <v>2011</v>
      </c>
      <c r="AI3">
        <v>1</v>
      </c>
      <c r="AJ3" t="s">
        <v>151</v>
      </c>
      <c r="AK3">
        <v>2</v>
      </c>
      <c r="AL3" t="s">
        <v>152</v>
      </c>
      <c r="AM3" t="s">
        <v>153</v>
      </c>
      <c r="AN3" t="s">
        <v>154</v>
      </c>
      <c r="AO3" t="s">
        <v>143</v>
      </c>
      <c r="AP3" t="s">
        <v>152</v>
      </c>
      <c r="AQ3" t="s">
        <v>160</v>
      </c>
      <c r="AR3" t="s">
        <v>157</v>
      </c>
      <c r="AS3" t="s">
        <v>152</v>
      </c>
      <c r="AT3" t="s">
        <v>157</v>
      </c>
      <c r="AU3" t="s">
        <v>152</v>
      </c>
      <c r="AV3" t="s">
        <v>148</v>
      </c>
      <c r="AW3" t="s">
        <v>158</v>
      </c>
      <c r="AX3" t="s">
        <v>166</v>
      </c>
      <c r="AY3" t="s">
        <v>164</v>
      </c>
      <c r="BB3">
        <v>11</v>
      </c>
      <c r="BC3" t="s">
        <v>169</v>
      </c>
      <c r="BD3" t="s">
        <v>167</v>
      </c>
      <c r="BE3" t="s">
        <v>165</v>
      </c>
      <c r="BG3" t="s">
        <v>77</v>
      </c>
      <c r="BH3" t="s">
        <v>174</v>
      </c>
      <c r="BI3" t="s">
        <v>152</v>
      </c>
      <c r="BJ3" t="s">
        <v>169</v>
      </c>
      <c r="BK3">
        <v>12919</v>
      </c>
      <c r="BL3" t="s">
        <v>148</v>
      </c>
      <c r="BN3" t="s">
        <v>175</v>
      </c>
      <c r="BO3" t="s">
        <v>169</v>
      </c>
      <c r="BP3" t="s">
        <v>168</v>
      </c>
      <c r="BQ3" t="s">
        <v>171</v>
      </c>
      <c r="BR3">
        <v>1</v>
      </c>
      <c r="BS3" t="s">
        <v>172</v>
      </c>
    </row>
    <row r="4" spans="1:116" x14ac:dyDescent="0.35">
      <c r="A4">
        <v>6</v>
      </c>
      <c r="B4" t="s">
        <v>72</v>
      </c>
      <c r="C4" t="s">
        <v>81</v>
      </c>
      <c r="D4" t="s">
        <v>77</v>
      </c>
      <c r="F4" t="s">
        <v>72</v>
      </c>
      <c r="G4" t="s">
        <v>74</v>
      </c>
      <c r="H4" t="s">
        <v>82</v>
      </c>
      <c r="I4">
        <v>908052.12</v>
      </c>
      <c r="J4" t="s">
        <v>78</v>
      </c>
      <c r="L4" t="s">
        <v>79</v>
      </c>
      <c r="N4" s="121">
        <v>43746</v>
      </c>
      <c r="P4">
        <v>31800</v>
      </c>
      <c r="Q4">
        <v>29256</v>
      </c>
      <c r="R4">
        <v>29256</v>
      </c>
    </row>
    <row r="5" spans="1:116" x14ac:dyDescent="0.35">
      <c r="A5">
        <v>6</v>
      </c>
      <c r="B5" t="s">
        <v>72</v>
      </c>
      <c r="C5" t="s">
        <v>83</v>
      </c>
      <c r="D5" t="s">
        <v>77</v>
      </c>
      <c r="F5" t="s">
        <v>72</v>
      </c>
      <c r="G5" t="s">
        <v>74</v>
      </c>
      <c r="H5" t="s">
        <v>76</v>
      </c>
      <c r="I5">
        <v>28620</v>
      </c>
      <c r="J5" t="s">
        <v>78</v>
      </c>
      <c r="L5" t="s">
        <v>79</v>
      </c>
      <c r="N5" s="121">
        <v>43746</v>
      </c>
      <c r="P5">
        <v>31800</v>
      </c>
      <c r="Q5">
        <v>29256</v>
      </c>
      <c r="R5">
        <v>29256</v>
      </c>
      <c r="BA5">
        <v>10</v>
      </c>
      <c r="BB5" t="s">
        <v>168</v>
      </c>
      <c r="BC5" t="s">
        <v>162</v>
      </c>
      <c r="BD5" t="s">
        <v>163</v>
      </c>
      <c r="BF5" t="s">
        <v>77</v>
      </c>
      <c r="BG5" t="s">
        <v>173</v>
      </c>
      <c r="BH5" t="s">
        <v>148</v>
      </c>
      <c r="BI5" t="s">
        <v>168</v>
      </c>
      <c r="BJ5">
        <v>12519</v>
      </c>
      <c r="BK5" t="s">
        <v>148</v>
      </c>
      <c r="BM5" t="s">
        <v>170</v>
      </c>
      <c r="BN5" t="s">
        <v>168</v>
      </c>
      <c r="BO5" t="s">
        <v>169</v>
      </c>
      <c r="BP5" t="s">
        <v>171</v>
      </c>
      <c r="BQ5">
        <v>1</v>
      </c>
      <c r="BR5" t="s">
        <v>172</v>
      </c>
    </row>
    <row r="6" spans="1:116" x14ac:dyDescent="0.35">
      <c r="A6">
        <v>1</v>
      </c>
      <c r="B6" t="s">
        <v>72</v>
      </c>
      <c r="BA6">
        <v>11</v>
      </c>
      <c r="BB6" t="s">
        <v>169</v>
      </c>
      <c r="BC6" t="s">
        <v>167</v>
      </c>
      <c r="BD6" t="s">
        <v>165</v>
      </c>
      <c r="BF6" t="s">
        <v>77</v>
      </c>
      <c r="BG6" t="s">
        <v>174</v>
      </c>
      <c r="BH6" t="s">
        <v>152</v>
      </c>
      <c r="BI6" t="s">
        <v>169</v>
      </c>
      <c r="BJ6">
        <v>12919</v>
      </c>
      <c r="BK6" t="s">
        <v>148</v>
      </c>
      <c r="BM6" t="s">
        <v>175</v>
      </c>
      <c r="BN6" t="s">
        <v>169</v>
      </c>
      <c r="BO6" t="s">
        <v>168</v>
      </c>
      <c r="BP6" t="s">
        <v>171</v>
      </c>
      <c r="BQ6">
        <v>1</v>
      </c>
      <c r="BR6" t="s">
        <v>172</v>
      </c>
    </row>
    <row r="7" spans="1:116" x14ac:dyDescent="0.35">
      <c r="A7">
        <v>2</v>
      </c>
      <c r="B7" t="s">
        <v>72</v>
      </c>
      <c r="BT7" t="s">
        <v>73</v>
      </c>
    </row>
    <row r="8" spans="1:116" ht="15" thickBot="1" x14ac:dyDescent="0.4"/>
    <row r="9" spans="1:116" ht="104.5" thickBot="1" x14ac:dyDescent="0.4">
      <c r="BA9" s="29" t="s">
        <v>52</v>
      </c>
      <c r="BB9" s="30" t="s">
        <v>53</v>
      </c>
      <c r="BC9" s="31" t="s">
        <v>54</v>
      </c>
      <c r="BD9" s="32" t="s">
        <v>55</v>
      </c>
      <c r="BE9" s="33"/>
      <c r="BF9" s="25" t="s">
        <v>56</v>
      </c>
      <c r="BG9" s="22" t="s">
        <v>57</v>
      </c>
      <c r="BH9" s="25" t="s">
        <v>58</v>
      </c>
      <c r="BI9" s="25" t="s">
        <v>59</v>
      </c>
      <c r="BJ9" s="25" t="s">
        <v>60</v>
      </c>
      <c r="BK9" s="22" t="s">
        <v>61</v>
      </c>
      <c r="BL9" s="25"/>
      <c r="BM9" s="34" t="s">
        <v>62</v>
      </c>
      <c r="BN9" s="35" t="s">
        <v>63</v>
      </c>
      <c r="BO9" s="35" t="s">
        <v>64</v>
      </c>
      <c r="BP9" s="35" t="s">
        <v>65</v>
      </c>
      <c r="BQ9" s="35" t="s">
        <v>66</v>
      </c>
      <c r="BR9" s="35" t="s">
        <v>67</v>
      </c>
      <c r="BS9" s="35" t="s">
        <v>68</v>
      </c>
      <c r="BT9" s="36" t="s">
        <v>69</v>
      </c>
      <c r="BU9" s="36" t="s">
        <v>70</v>
      </c>
      <c r="BV9" s="37" t="s">
        <v>71</v>
      </c>
    </row>
    <row r="10" spans="1:116" x14ac:dyDescent="0.35">
      <c r="BA10">
        <v>10</v>
      </c>
      <c r="BB10" s="44" t="s">
        <v>168</v>
      </c>
      <c r="BC10" t="s">
        <v>162</v>
      </c>
      <c r="BD10" t="s">
        <v>163</v>
      </c>
      <c r="BE10" s="44"/>
      <c r="BF10" t="s">
        <v>77</v>
      </c>
      <c r="BG10" t="s">
        <v>173</v>
      </c>
      <c r="BH10" t="s">
        <v>148</v>
      </c>
      <c r="BI10" t="s">
        <v>168</v>
      </c>
      <c r="BJ10">
        <v>12519</v>
      </c>
      <c r="BK10" t="s">
        <v>148</v>
      </c>
      <c r="BL10" s="44"/>
      <c r="BM10" t="s">
        <v>170</v>
      </c>
      <c r="BN10" t="s">
        <v>168</v>
      </c>
      <c r="BO10" s="44" t="s">
        <v>169</v>
      </c>
      <c r="BP10" t="s">
        <v>171</v>
      </c>
      <c r="BQ10">
        <v>1</v>
      </c>
      <c r="BR10" t="s">
        <v>172</v>
      </c>
      <c r="BS10">
        <v>92780</v>
      </c>
      <c r="BT10">
        <v>1</v>
      </c>
      <c r="BU10" s="39">
        <v>11</v>
      </c>
      <c r="BV10" s="41" t="s">
        <v>169</v>
      </c>
    </row>
    <row r="11" spans="1:116" x14ac:dyDescent="0.35">
      <c r="BA11">
        <v>11</v>
      </c>
      <c r="BB11" s="44" t="s">
        <v>169</v>
      </c>
      <c r="BC11" t="s">
        <v>167</v>
      </c>
      <c r="BD11" t="s">
        <v>165</v>
      </c>
      <c r="BE11" s="44"/>
      <c r="BF11" t="s">
        <v>77</v>
      </c>
      <c r="BG11" t="s">
        <v>174</v>
      </c>
      <c r="BH11" t="s">
        <v>152</v>
      </c>
      <c r="BI11" t="s">
        <v>169</v>
      </c>
      <c r="BJ11">
        <v>12919</v>
      </c>
      <c r="BK11" t="s">
        <v>148</v>
      </c>
      <c r="BL11" s="44"/>
      <c r="BM11" t="s">
        <v>175</v>
      </c>
      <c r="BN11" t="s">
        <v>169</v>
      </c>
      <c r="BO11" s="44" t="s">
        <v>168</v>
      </c>
      <c r="BP11" t="s">
        <v>171</v>
      </c>
      <c r="BQ11">
        <v>1</v>
      </c>
      <c r="BR11" t="s">
        <v>172</v>
      </c>
      <c r="BS11">
        <v>92780</v>
      </c>
      <c r="BT11">
        <v>1</v>
      </c>
      <c r="BU11" s="39">
        <v>12</v>
      </c>
      <c r="BV11" s="41" t="s">
        <v>168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4D490D-59C2-421A-8D32-0706CD26BBDB}">
  <sheetPr codeName="Sheet3"/>
  <dimension ref="C1:G117"/>
  <sheetViews>
    <sheetView tabSelected="1" topLeftCell="B52" workbookViewId="0">
      <selection activeCell="F11" sqref="F11"/>
    </sheetView>
  </sheetViews>
  <sheetFormatPr defaultRowHeight="14.5" x14ac:dyDescent="0.35"/>
  <cols>
    <col min="3" max="3" width="61.08984375" customWidth="1"/>
    <col min="4" max="5" width="5.54296875" customWidth="1"/>
    <col min="6" max="6" width="66.36328125" bestFit="1" customWidth="1"/>
    <col min="7" max="7" width="8.6328125" customWidth="1"/>
  </cols>
  <sheetData>
    <row r="1" spans="3:7" x14ac:dyDescent="0.35">
      <c r="C1" t="s">
        <v>212</v>
      </c>
      <c r="D1">
        <v>1</v>
      </c>
      <c r="E1">
        <v>1</v>
      </c>
      <c r="F1" t="s">
        <v>5</v>
      </c>
      <c r="G1">
        <v>1</v>
      </c>
    </row>
    <row r="2" spans="3:7" x14ac:dyDescent="0.35">
      <c r="C2" t="s">
        <v>213</v>
      </c>
      <c r="D2">
        <v>2</v>
      </c>
      <c r="E2">
        <v>4</v>
      </c>
      <c r="F2" t="s">
        <v>196</v>
      </c>
      <c r="G2">
        <v>2</v>
      </c>
    </row>
    <row r="3" spans="3:7" x14ac:dyDescent="0.35">
      <c r="C3" t="s">
        <v>214</v>
      </c>
      <c r="D3">
        <v>3</v>
      </c>
      <c r="E3">
        <v>5</v>
      </c>
      <c r="F3" s="128" t="s">
        <v>197</v>
      </c>
      <c r="G3" s="128">
        <v>3</v>
      </c>
    </row>
    <row r="4" spans="3:7" x14ac:dyDescent="0.35">
      <c r="C4" t="s">
        <v>215</v>
      </c>
      <c r="D4">
        <v>4</v>
      </c>
      <c r="E4">
        <v>6</v>
      </c>
      <c r="F4" t="s">
        <v>2</v>
      </c>
      <c r="G4">
        <v>4</v>
      </c>
    </row>
    <row r="5" spans="3:7" x14ac:dyDescent="0.35">
      <c r="C5" t="s">
        <v>216</v>
      </c>
      <c r="D5">
        <v>5</v>
      </c>
      <c r="E5">
        <v>7</v>
      </c>
      <c r="F5" t="s">
        <v>3</v>
      </c>
      <c r="G5">
        <v>5</v>
      </c>
    </row>
    <row r="6" spans="3:7" x14ac:dyDescent="0.35">
      <c r="C6" t="s">
        <v>217</v>
      </c>
      <c r="D6">
        <v>6</v>
      </c>
      <c r="E6">
        <v>27</v>
      </c>
      <c r="F6" t="s">
        <v>4</v>
      </c>
      <c r="G6">
        <v>6</v>
      </c>
    </row>
    <row r="7" spans="3:7" x14ac:dyDescent="0.35">
      <c r="C7" t="s">
        <v>218</v>
      </c>
      <c r="D7">
        <v>7</v>
      </c>
      <c r="E7">
        <v>26</v>
      </c>
      <c r="F7" t="s">
        <v>130</v>
      </c>
      <c r="G7">
        <v>7</v>
      </c>
    </row>
    <row r="8" spans="3:7" x14ac:dyDescent="0.35">
      <c r="C8" t="s">
        <v>219</v>
      </c>
      <c r="D8">
        <v>8</v>
      </c>
      <c r="E8">
        <v>25</v>
      </c>
      <c r="F8" t="s">
        <v>43</v>
      </c>
      <c r="G8">
        <v>8</v>
      </c>
    </row>
    <row r="9" spans="3:7" x14ac:dyDescent="0.35">
      <c r="C9" t="s">
        <v>220</v>
      </c>
      <c r="D9">
        <v>9</v>
      </c>
      <c r="E9">
        <v>24</v>
      </c>
      <c r="F9" t="s">
        <v>44</v>
      </c>
      <c r="G9">
        <v>9</v>
      </c>
    </row>
    <row r="10" spans="3:7" x14ac:dyDescent="0.35">
      <c r="C10" t="s">
        <v>221</v>
      </c>
      <c r="D10">
        <v>10</v>
      </c>
      <c r="E10">
        <v>33</v>
      </c>
      <c r="F10" t="s">
        <v>198</v>
      </c>
      <c r="G10">
        <v>10</v>
      </c>
    </row>
    <row r="11" spans="3:7" x14ac:dyDescent="0.35">
      <c r="C11" t="s">
        <v>222</v>
      </c>
      <c r="D11">
        <v>11</v>
      </c>
      <c r="F11" t="s">
        <v>50</v>
      </c>
      <c r="G11">
        <v>11</v>
      </c>
    </row>
    <row r="12" spans="3:7" x14ac:dyDescent="0.35">
      <c r="C12" t="s">
        <v>223</v>
      </c>
      <c r="D12">
        <v>12</v>
      </c>
      <c r="E12">
        <v>34</v>
      </c>
      <c r="F12" t="s">
        <v>116</v>
      </c>
      <c r="G12">
        <v>12</v>
      </c>
    </row>
    <row r="13" spans="3:7" x14ac:dyDescent="0.35">
      <c r="C13" t="s">
        <v>224</v>
      </c>
      <c r="D13">
        <v>13</v>
      </c>
      <c r="F13" t="s">
        <v>117</v>
      </c>
      <c r="G13">
        <v>13</v>
      </c>
    </row>
    <row r="14" spans="3:7" x14ac:dyDescent="0.35">
      <c r="C14" t="s">
        <v>225</v>
      </c>
      <c r="D14">
        <v>14</v>
      </c>
      <c r="E14">
        <v>35</v>
      </c>
      <c r="F14" t="s">
        <v>118</v>
      </c>
      <c r="G14">
        <v>14</v>
      </c>
    </row>
    <row r="15" spans="3:7" x14ac:dyDescent="0.35">
      <c r="C15" t="s">
        <v>226</v>
      </c>
      <c r="D15">
        <v>15</v>
      </c>
      <c r="E15">
        <v>36</v>
      </c>
      <c r="F15" t="s">
        <v>121</v>
      </c>
      <c r="G15">
        <v>15</v>
      </c>
    </row>
    <row r="16" spans="3:7" x14ac:dyDescent="0.35">
      <c r="C16" t="s">
        <v>227</v>
      </c>
      <c r="D16">
        <v>16</v>
      </c>
      <c r="E16">
        <v>37</v>
      </c>
      <c r="F16" t="s">
        <v>123</v>
      </c>
      <c r="G16">
        <v>16</v>
      </c>
    </row>
    <row r="17" spans="3:7" x14ac:dyDescent="0.35">
      <c r="C17" t="s">
        <v>228</v>
      </c>
      <c r="D17">
        <v>17</v>
      </c>
      <c r="E17">
        <v>29</v>
      </c>
      <c r="F17" t="s">
        <v>124</v>
      </c>
      <c r="G17">
        <v>17</v>
      </c>
    </row>
    <row r="18" spans="3:7" x14ac:dyDescent="0.35">
      <c r="C18" t="s">
        <v>229</v>
      </c>
      <c r="D18">
        <v>18</v>
      </c>
      <c r="E18">
        <v>28</v>
      </c>
      <c r="F18" t="s">
        <v>125</v>
      </c>
      <c r="G18">
        <v>18</v>
      </c>
    </row>
    <row r="19" spans="3:7" x14ac:dyDescent="0.35">
      <c r="C19" t="s">
        <v>230</v>
      </c>
      <c r="D19">
        <v>19</v>
      </c>
      <c r="E19">
        <v>38</v>
      </c>
      <c r="F19" t="s">
        <v>128</v>
      </c>
      <c r="G19">
        <v>19</v>
      </c>
    </row>
    <row r="20" spans="3:7" x14ac:dyDescent="0.35">
      <c r="C20" t="s">
        <v>231</v>
      </c>
      <c r="D20">
        <v>20</v>
      </c>
      <c r="E20">
        <v>39</v>
      </c>
      <c r="F20" t="s">
        <v>129</v>
      </c>
      <c r="G20">
        <v>20</v>
      </c>
    </row>
    <row r="21" spans="3:7" x14ac:dyDescent="0.35">
      <c r="C21" t="s">
        <v>232</v>
      </c>
      <c r="D21">
        <v>21</v>
      </c>
      <c r="E21">
        <v>40</v>
      </c>
      <c r="F21" t="s">
        <v>119</v>
      </c>
      <c r="G21">
        <v>21</v>
      </c>
    </row>
    <row r="22" spans="3:7" x14ac:dyDescent="0.35">
      <c r="C22" t="s">
        <v>233</v>
      </c>
      <c r="D22">
        <v>22</v>
      </c>
      <c r="E22">
        <v>41</v>
      </c>
      <c r="F22" t="s">
        <v>52</v>
      </c>
      <c r="G22">
        <v>22</v>
      </c>
    </row>
    <row r="23" spans="3:7" x14ac:dyDescent="0.35">
      <c r="C23" t="s">
        <v>234</v>
      </c>
      <c r="D23">
        <v>23</v>
      </c>
      <c r="E23">
        <v>42</v>
      </c>
      <c r="F23" t="s">
        <v>51</v>
      </c>
      <c r="G23">
        <v>23</v>
      </c>
    </row>
    <row r="24" spans="3:7" x14ac:dyDescent="0.35">
      <c r="C24" t="s">
        <v>235</v>
      </c>
      <c r="D24">
        <v>24</v>
      </c>
      <c r="E24">
        <v>43</v>
      </c>
      <c r="F24" t="s">
        <v>10</v>
      </c>
      <c r="G24">
        <v>24</v>
      </c>
    </row>
    <row r="25" spans="3:7" x14ac:dyDescent="0.35">
      <c r="C25" t="s">
        <v>236</v>
      </c>
      <c r="D25">
        <v>25</v>
      </c>
      <c r="E25">
        <v>44</v>
      </c>
      <c r="F25" t="s">
        <v>9</v>
      </c>
      <c r="G25">
        <v>25</v>
      </c>
    </row>
    <row r="26" spans="3:7" x14ac:dyDescent="0.35">
      <c r="C26" t="s">
        <v>237</v>
      </c>
      <c r="D26">
        <v>26</v>
      </c>
      <c r="E26">
        <v>45</v>
      </c>
      <c r="F26" t="s">
        <v>7</v>
      </c>
      <c r="G26">
        <v>26</v>
      </c>
    </row>
    <row r="27" spans="3:7" x14ac:dyDescent="0.35">
      <c r="C27" t="s">
        <v>238</v>
      </c>
      <c r="D27">
        <v>27</v>
      </c>
      <c r="E27">
        <v>46</v>
      </c>
      <c r="F27" t="s">
        <v>6</v>
      </c>
      <c r="G27">
        <v>27</v>
      </c>
    </row>
    <row r="28" spans="3:7" x14ac:dyDescent="0.35">
      <c r="C28" t="s">
        <v>239</v>
      </c>
      <c r="D28">
        <v>28</v>
      </c>
      <c r="E28">
        <v>47</v>
      </c>
      <c r="F28" t="s">
        <v>17</v>
      </c>
      <c r="G28">
        <v>28</v>
      </c>
    </row>
    <row r="29" spans="3:7" x14ac:dyDescent="0.35">
      <c r="C29" t="s">
        <v>240</v>
      </c>
      <c r="D29">
        <v>29</v>
      </c>
      <c r="E29">
        <v>48</v>
      </c>
      <c r="F29" t="s">
        <v>16</v>
      </c>
      <c r="G29">
        <v>29</v>
      </c>
    </row>
    <row r="30" spans="3:7" x14ac:dyDescent="0.35">
      <c r="C30" t="s">
        <v>241</v>
      </c>
      <c r="D30">
        <v>30</v>
      </c>
      <c r="E30">
        <v>49</v>
      </c>
      <c r="F30" t="s">
        <v>54</v>
      </c>
      <c r="G30">
        <v>30</v>
      </c>
    </row>
    <row r="31" spans="3:7" x14ac:dyDescent="0.35">
      <c r="C31" t="s">
        <v>242</v>
      </c>
      <c r="D31">
        <v>31</v>
      </c>
      <c r="E31">
        <v>50</v>
      </c>
      <c r="F31" t="s">
        <v>36</v>
      </c>
      <c r="G31">
        <v>31</v>
      </c>
    </row>
    <row r="32" spans="3:7" x14ac:dyDescent="0.35">
      <c r="C32" t="s">
        <v>243</v>
      </c>
      <c r="D32">
        <v>32</v>
      </c>
      <c r="E32">
        <v>51</v>
      </c>
      <c r="F32" t="s">
        <v>61</v>
      </c>
      <c r="G32">
        <v>32</v>
      </c>
    </row>
    <row r="33" spans="3:7" x14ac:dyDescent="0.35">
      <c r="C33" t="s">
        <v>244</v>
      </c>
      <c r="D33">
        <v>33</v>
      </c>
      <c r="E33">
        <v>52</v>
      </c>
      <c r="F33" t="s">
        <v>11</v>
      </c>
      <c r="G33">
        <v>33</v>
      </c>
    </row>
    <row r="34" spans="3:7" x14ac:dyDescent="0.35">
      <c r="C34" t="s">
        <v>245</v>
      </c>
      <c r="D34">
        <v>34</v>
      </c>
      <c r="E34">
        <v>53</v>
      </c>
      <c r="F34" t="s">
        <v>12</v>
      </c>
      <c r="G34">
        <v>34</v>
      </c>
    </row>
    <row r="35" spans="3:7" x14ac:dyDescent="0.35">
      <c r="C35" t="s">
        <v>246</v>
      </c>
      <c r="D35">
        <v>35</v>
      </c>
      <c r="E35">
        <v>54</v>
      </c>
      <c r="F35" t="s">
        <v>13</v>
      </c>
      <c r="G35">
        <v>35</v>
      </c>
    </row>
    <row r="36" spans="3:7" x14ac:dyDescent="0.35">
      <c r="C36" t="s">
        <v>247</v>
      </c>
      <c r="D36">
        <v>36</v>
      </c>
      <c r="E36">
        <v>55</v>
      </c>
      <c r="F36" t="s">
        <v>14</v>
      </c>
      <c r="G36">
        <v>36</v>
      </c>
    </row>
    <row r="37" spans="3:7" x14ac:dyDescent="0.35">
      <c r="C37" t="s">
        <v>248</v>
      </c>
      <c r="D37">
        <v>37</v>
      </c>
      <c r="E37">
        <v>31</v>
      </c>
      <c r="F37" t="s">
        <v>15</v>
      </c>
      <c r="G37">
        <v>37</v>
      </c>
    </row>
    <row r="38" spans="3:7" x14ac:dyDescent="0.35">
      <c r="C38" t="s">
        <v>249</v>
      </c>
      <c r="D38">
        <v>38</v>
      </c>
      <c r="E38">
        <v>56</v>
      </c>
      <c r="F38" t="s">
        <v>18</v>
      </c>
      <c r="G38">
        <v>38</v>
      </c>
    </row>
    <row r="39" spans="3:7" x14ac:dyDescent="0.35">
      <c r="C39" t="s">
        <v>250</v>
      </c>
      <c r="D39">
        <v>39</v>
      </c>
      <c r="E39">
        <v>57</v>
      </c>
      <c r="F39" t="s">
        <v>199</v>
      </c>
      <c r="G39">
        <v>39</v>
      </c>
    </row>
    <row r="40" spans="3:7" x14ac:dyDescent="0.35">
      <c r="C40" t="s">
        <v>251</v>
      </c>
      <c r="D40">
        <v>40</v>
      </c>
      <c r="E40">
        <v>58</v>
      </c>
      <c r="F40" t="s">
        <v>20</v>
      </c>
      <c r="G40">
        <v>40</v>
      </c>
    </row>
    <row r="41" spans="3:7" x14ac:dyDescent="0.35">
      <c r="C41" t="s">
        <v>252</v>
      </c>
      <c r="D41">
        <v>41</v>
      </c>
      <c r="E41">
        <v>59</v>
      </c>
      <c r="F41" t="s">
        <v>21</v>
      </c>
      <c r="G41">
        <v>41</v>
      </c>
    </row>
    <row r="42" spans="3:7" x14ac:dyDescent="0.35">
      <c r="C42" t="s">
        <v>253</v>
      </c>
      <c r="D42">
        <v>42</v>
      </c>
      <c r="E42">
        <v>60</v>
      </c>
      <c r="F42" t="s">
        <v>22</v>
      </c>
      <c r="G42">
        <v>42</v>
      </c>
    </row>
    <row r="43" spans="3:7" x14ac:dyDescent="0.35">
      <c r="C43" t="s">
        <v>254</v>
      </c>
      <c r="D43">
        <v>43</v>
      </c>
      <c r="E43">
        <v>61</v>
      </c>
      <c r="F43" t="s">
        <v>23</v>
      </c>
      <c r="G43">
        <v>43</v>
      </c>
    </row>
    <row r="44" spans="3:7" x14ac:dyDescent="0.35">
      <c r="C44" t="s">
        <v>255</v>
      </c>
      <c r="D44">
        <v>44</v>
      </c>
      <c r="E44">
        <v>8</v>
      </c>
      <c r="F44" t="s">
        <v>24</v>
      </c>
      <c r="G44">
        <v>44</v>
      </c>
    </row>
    <row r="45" spans="3:7" x14ac:dyDescent="0.35">
      <c r="C45" t="s">
        <v>256</v>
      </c>
      <c r="D45">
        <v>45</v>
      </c>
      <c r="E45">
        <v>9</v>
      </c>
      <c r="F45" t="s">
        <v>25</v>
      </c>
      <c r="G45">
        <v>45</v>
      </c>
    </row>
    <row r="46" spans="3:7" x14ac:dyDescent="0.35">
      <c r="C46" t="s">
        <v>257</v>
      </c>
      <c r="D46">
        <v>46</v>
      </c>
      <c r="E46">
        <v>62</v>
      </c>
      <c r="F46" t="s">
        <v>26</v>
      </c>
      <c r="G46">
        <v>46</v>
      </c>
    </row>
    <row r="47" spans="3:7" x14ac:dyDescent="0.35">
      <c r="C47" t="s">
        <v>258</v>
      </c>
      <c r="D47">
        <v>47</v>
      </c>
      <c r="E47">
        <v>63</v>
      </c>
      <c r="F47" t="s">
        <v>27</v>
      </c>
      <c r="G47">
        <v>47</v>
      </c>
    </row>
    <row r="48" spans="3:7" x14ac:dyDescent="0.35">
      <c r="C48" t="s">
        <v>259</v>
      </c>
      <c r="D48">
        <v>48</v>
      </c>
      <c r="E48">
        <v>64</v>
      </c>
      <c r="F48" t="s">
        <v>28</v>
      </c>
      <c r="G48">
        <v>48</v>
      </c>
    </row>
    <row r="49" spans="3:7" x14ac:dyDescent="0.35">
      <c r="C49" t="s">
        <v>260</v>
      </c>
      <c r="D49">
        <v>49</v>
      </c>
      <c r="E49">
        <v>65</v>
      </c>
      <c r="F49" t="s">
        <v>29</v>
      </c>
      <c r="G49">
        <v>49</v>
      </c>
    </row>
    <row r="50" spans="3:7" x14ac:dyDescent="0.35">
      <c r="C50" t="s">
        <v>261</v>
      </c>
      <c r="D50">
        <v>50</v>
      </c>
      <c r="E50">
        <v>10</v>
      </c>
      <c r="F50" t="s">
        <v>30</v>
      </c>
      <c r="G50">
        <v>50</v>
      </c>
    </row>
    <row r="51" spans="3:7" x14ac:dyDescent="0.35">
      <c r="C51" t="s">
        <v>262</v>
      </c>
      <c r="D51">
        <v>51</v>
      </c>
      <c r="E51">
        <v>11</v>
      </c>
      <c r="F51" t="s">
        <v>31</v>
      </c>
      <c r="G51">
        <v>51</v>
      </c>
    </row>
    <row r="52" spans="3:7" x14ac:dyDescent="0.35">
      <c r="C52" t="s">
        <v>263</v>
      </c>
      <c r="D52">
        <v>52</v>
      </c>
      <c r="E52">
        <v>23</v>
      </c>
      <c r="F52" t="s">
        <v>32</v>
      </c>
      <c r="G52">
        <v>52</v>
      </c>
    </row>
    <row r="53" spans="3:7" x14ac:dyDescent="0.35">
      <c r="C53" t="s">
        <v>264</v>
      </c>
      <c r="D53">
        <v>53</v>
      </c>
      <c r="E53">
        <v>22</v>
      </c>
      <c r="F53" t="s">
        <v>33</v>
      </c>
      <c r="G53">
        <v>53</v>
      </c>
    </row>
    <row r="54" spans="3:7" x14ac:dyDescent="0.35">
      <c r="C54" t="s">
        <v>265</v>
      </c>
      <c r="D54">
        <v>54</v>
      </c>
      <c r="E54">
        <v>70</v>
      </c>
      <c r="F54" t="s">
        <v>200</v>
      </c>
      <c r="G54">
        <v>54</v>
      </c>
    </row>
    <row r="55" spans="3:7" x14ac:dyDescent="0.35">
      <c r="C55" t="s">
        <v>266</v>
      </c>
      <c r="D55">
        <v>55</v>
      </c>
      <c r="E55">
        <v>30</v>
      </c>
      <c r="F55" t="s">
        <v>201</v>
      </c>
      <c r="G55">
        <v>55</v>
      </c>
    </row>
    <row r="56" spans="3:7" x14ac:dyDescent="0.35">
      <c r="C56" t="s">
        <v>267</v>
      </c>
      <c r="D56">
        <v>56</v>
      </c>
      <c r="E56">
        <v>66</v>
      </c>
      <c r="F56" t="s">
        <v>37</v>
      </c>
      <c r="G56">
        <v>56</v>
      </c>
    </row>
    <row r="57" spans="3:7" x14ac:dyDescent="0.35">
      <c r="C57" t="s">
        <v>268</v>
      </c>
      <c r="D57">
        <v>57</v>
      </c>
      <c r="E57">
        <v>67</v>
      </c>
      <c r="F57" t="s">
        <v>38</v>
      </c>
      <c r="G57">
        <v>57</v>
      </c>
    </row>
    <row r="58" spans="3:7" x14ac:dyDescent="0.35">
      <c r="C58" t="s">
        <v>269</v>
      </c>
      <c r="D58">
        <v>58</v>
      </c>
      <c r="E58">
        <v>68</v>
      </c>
      <c r="F58" t="s">
        <v>39</v>
      </c>
      <c r="G58">
        <v>58</v>
      </c>
    </row>
    <row r="59" spans="3:7" x14ac:dyDescent="0.35">
      <c r="C59" t="s">
        <v>270</v>
      </c>
      <c r="D59">
        <v>59</v>
      </c>
      <c r="E59">
        <v>69</v>
      </c>
      <c r="F59" t="s">
        <v>40</v>
      </c>
      <c r="G59">
        <v>59</v>
      </c>
    </row>
    <row r="60" spans="3:7" x14ac:dyDescent="0.35">
      <c r="C60" t="s">
        <v>271</v>
      </c>
      <c r="D60">
        <v>60</v>
      </c>
      <c r="E60">
        <v>71</v>
      </c>
      <c r="F60" t="s">
        <v>41</v>
      </c>
      <c r="G60">
        <v>60</v>
      </c>
    </row>
    <row r="61" spans="3:7" x14ac:dyDescent="0.35">
      <c r="C61" s="127" t="s">
        <v>272</v>
      </c>
      <c r="D61" s="127">
        <v>61</v>
      </c>
      <c r="E61" s="127"/>
      <c r="F61" t="s">
        <v>42</v>
      </c>
      <c r="G61">
        <v>61</v>
      </c>
    </row>
    <row r="62" spans="3:7" x14ac:dyDescent="0.35">
      <c r="C62" t="s">
        <v>273</v>
      </c>
      <c r="D62">
        <v>62</v>
      </c>
      <c r="E62">
        <v>32</v>
      </c>
      <c r="F62" t="s">
        <v>202</v>
      </c>
      <c r="G62">
        <v>62</v>
      </c>
    </row>
    <row r="63" spans="3:7" x14ac:dyDescent="0.35">
      <c r="C63" t="s">
        <v>274</v>
      </c>
      <c r="D63">
        <v>63</v>
      </c>
      <c r="E63">
        <v>72</v>
      </c>
      <c r="F63" t="s">
        <v>46</v>
      </c>
      <c r="G63">
        <v>63</v>
      </c>
    </row>
    <row r="64" spans="3:7" x14ac:dyDescent="0.35">
      <c r="C64" t="s">
        <v>275</v>
      </c>
      <c r="D64">
        <v>64</v>
      </c>
      <c r="E64">
        <v>73</v>
      </c>
      <c r="F64" t="s">
        <v>47</v>
      </c>
      <c r="G64">
        <v>64</v>
      </c>
    </row>
    <row r="65" spans="3:7" x14ac:dyDescent="0.35">
      <c r="C65" t="s">
        <v>276</v>
      </c>
      <c r="D65">
        <v>65</v>
      </c>
      <c r="E65">
        <v>74</v>
      </c>
      <c r="F65" t="s">
        <v>48</v>
      </c>
      <c r="G65">
        <v>65</v>
      </c>
    </row>
    <row r="66" spans="3:7" x14ac:dyDescent="0.35">
      <c r="C66" t="s">
        <v>277</v>
      </c>
      <c r="D66">
        <v>66</v>
      </c>
      <c r="E66">
        <v>75</v>
      </c>
      <c r="F66" t="s">
        <v>55</v>
      </c>
      <c r="G66">
        <v>66</v>
      </c>
    </row>
    <row r="67" spans="3:7" x14ac:dyDescent="0.35">
      <c r="C67" t="s">
        <v>278</v>
      </c>
      <c r="D67">
        <v>67</v>
      </c>
      <c r="E67">
        <v>76</v>
      </c>
      <c r="F67" t="s">
        <v>56</v>
      </c>
      <c r="G67">
        <v>67</v>
      </c>
    </row>
    <row r="68" spans="3:7" x14ac:dyDescent="0.35">
      <c r="C68" t="s">
        <v>279</v>
      </c>
      <c r="D68">
        <v>68</v>
      </c>
      <c r="E68">
        <v>77</v>
      </c>
      <c r="F68" t="s">
        <v>57</v>
      </c>
      <c r="G68">
        <v>68</v>
      </c>
    </row>
    <row r="69" spans="3:7" x14ac:dyDescent="0.35">
      <c r="C69" t="s">
        <v>280</v>
      </c>
      <c r="D69">
        <v>69</v>
      </c>
      <c r="E69">
        <v>78</v>
      </c>
      <c r="F69" t="s">
        <v>58</v>
      </c>
      <c r="G69">
        <v>69</v>
      </c>
    </row>
    <row r="70" spans="3:7" x14ac:dyDescent="0.35">
      <c r="C70" t="s">
        <v>281</v>
      </c>
      <c r="D70">
        <v>70</v>
      </c>
      <c r="E70">
        <v>79</v>
      </c>
      <c r="F70" t="s">
        <v>53</v>
      </c>
      <c r="G70">
        <v>70</v>
      </c>
    </row>
    <row r="71" spans="3:7" x14ac:dyDescent="0.35">
      <c r="C71" t="s">
        <v>282</v>
      </c>
      <c r="D71">
        <v>71</v>
      </c>
      <c r="E71">
        <v>80</v>
      </c>
      <c r="F71" t="s">
        <v>59</v>
      </c>
      <c r="G71">
        <v>71</v>
      </c>
    </row>
    <row r="72" spans="3:7" x14ac:dyDescent="0.35">
      <c r="F72" t="s">
        <v>62</v>
      </c>
      <c r="G72">
        <v>72</v>
      </c>
    </row>
    <row r="73" spans="3:7" x14ac:dyDescent="0.35">
      <c r="C73" s="127" t="s">
        <v>283</v>
      </c>
      <c r="D73" s="127">
        <v>72</v>
      </c>
      <c r="E73" s="127"/>
      <c r="F73" t="s">
        <v>63</v>
      </c>
      <c r="G73">
        <v>73</v>
      </c>
    </row>
    <row r="74" spans="3:7" x14ac:dyDescent="0.35">
      <c r="C74" s="127" t="s">
        <v>284</v>
      </c>
      <c r="D74" s="127">
        <v>73</v>
      </c>
      <c r="E74" s="127"/>
      <c r="F74" t="s">
        <v>64</v>
      </c>
      <c r="G74">
        <v>74</v>
      </c>
    </row>
    <row r="75" spans="3:7" x14ac:dyDescent="0.35">
      <c r="C75" s="129" t="s">
        <v>285</v>
      </c>
      <c r="D75" s="129">
        <v>74</v>
      </c>
      <c r="E75" s="129">
        <v>3</v>
      </c>
      <c r="F75" t="s">
        <v>65</v>
      </c>
      <c r="G75">
        <v>75</v>
      </c>
    </row>
    <row r="76" spans="3:7" x14ac:dyDescent="0.35">
      <c r="C76" s="127" t="s">
        <v>286</v>
      </c>
      <c r="D76" s="127">
        <v>75</v>
      </c>
      <c r="E76" s="127"/>
      <c r="F76" t="s">
        <v>66</v>
      </c>
      <c r="G76">
        <v>76</v>
      </c>
    </row>
    <row r="77" spans="3:7" x14ac:dyDescent="0.35">
      <c r="C77" s="127" t="s">
        <v>287</v>
      </c>
      <c r="D77" s="127">
        <v>76</v>
      </c>
      <c r="E77" s="127"/>
      <c r="F77" t="s">
        <v>67</v>
      </c>
      <c r="G77">
        <v>77</v>
      </c>
    </row>
    <row r="78" spans="3:7" x14ac:dyDescent="0.35">
      <c r="C78" t="s">
        <v>288</v>
      </c>
      <c r="D78">
        <v>77</v>
      </c>
      <c r="E78">
        <v>96</v>
      </c>
      <c r="F78" t="s">
        <v>68</v>
      </c>
      <c r="G78">
        <v>78</v>
      </c>
    </row>
    <row r="79" spans="3:7" x14ac:dyDescent="0.35">
      <c r="C79" t="s">
        <v>289</v>
      </c>
      <c r="D79">
        <v>78</v>
      </c>
      <c r="E79">
        <v>97</v>
      </c>
      <c r="F79" t="s">
        <v>69</v>
      </c>
      <c r="G79">
        <v>79</v>
      </c>
    </row>
    <row r="80" spans="3:7" x14ac:dyDescent="0.35">
      <c r="C80" t="s">
        <v>290</v>
      </c>
      <c r="D80">
        <v>79</v>
      </c>
      <c r="E80">
        <v>98</v>
      </c>
      <c r="F80" t="s">
        <v>70</v>
      </c>
      <c r="G80">
        <v>80</v>
      </c>
    </row>
    <row r="81" spans="3:7" x14ac:dyDescent="0.35">
      <c r="C81" s="127" t="s">
        <v>291</v>
      </c>
      <c r="D81" s="127">
        <v>80</v>
      </c>
      <c r="E81" s="127"/>
      <c r="F81" t="s">
        <v>177</v>
      </c>
      <c r="G81">
        <v>81</v>
      </c>
    </row>
    <row r="82" spans="3:7" x14ac:dyDescent="0.35">
      <c r="C82" s="127" t="s">
        <v>292</v>
      </c>
      <c r="D82" s="127">
        <v>81</v>
      </c>
      <c r="E82" s="127"/>
      <c r="F82" t="s">
        <v>178</v>
      </c>
      <c r="G82">
        <v>82</v>
      </c>
    </row>
    <row r="83" spans="3:7" x14ac:dyDescent="0.35">
      <c r="C83" t="s">
        <v>293</v>
      </c>
      <c r="D83">
        <v>82</v>
      </c>
      <c r="E83">
        <v>99</v>
      </c>
      <c r="F83" t="s">
        <v>179</v>
      </c>
      <c r="G83">
        <v>83</v>
      </c>
    </row>
    <row r="84" spans="3:7" x14ac:dyDescent="0.35">
      <c r="C84" t="s">
        <v>294</v>
      </c>
      <c r="D84">
        <v>83</v>
      </c>
      <c r="E84">
        <v>100</v>
      </c>
      <c r="F84" t="s">
        <v>180</v>
      </c>
      <c r="G84">
        <v>84</v>
      </c>
    </row>
    <row r="85" spans="3:7" x14ac:dyDescent="0.35">
      <c r="C85" t="s">
        <v>295</v>
      </c>
      <c r="D85">
        <v>84</v>
      </c>
      <c r="E85">
        <v>101</v>
      </c>
      <c r="F85" t="s">
        <v>203</v>
      </c>
      <c r="G85">
        <v>85</v>
      </c>
    </row>
    <row r="86" spans="3:7" x14ac:dyDescent="0.35">
      <c r="C86" t="s">
        <v>296</v>
      </c>
      <c r="D86">
        <v>85</v>
      </c>
      <c r="E86">
        <v>102</v>
      </c>
      <c r="F86" t="s">
        <v>204</v>
      </c>
      <c r="G86">
        <v>86</v>
      </c>
    </row>
    <row r="87" spans="3:7" x14ac:dyDescent="0.35">
      <c r="C87" t="s">
        <v>297</v>
      </c>
      <c r="D87">
        <v>86</v>
      </c>
      <c r="E87">
        <v>103</v>
      </c>
      <c r="F87" t="s">
        <v>205</v>
      </c>
      <c r="G87">
        <v>87</v>
      </c>
    </row>
    <row r="88" spans="3:7" x14ac:dyDescent="0.35">
      <c r="C88" t="s">
        <v>298</v>
      </c>
      <c r="D88">
        <v>87</v>
      </c>
      <c r="E88">
        <v>104</v>
      </c>
      <c r="F88" t="s">
        <v>206</v>
      </c>
      <c r="G88">
        <v>88</v>
      </c>
    </row>
    <row r="89" spans="3:7" x14ac:dyDescent="0.35">
      <c r="C89" t="s">
        <v>299</v>
      </c>
      <c r="D89">
        <v>88</v>
      </c>
      <c r="E89">
        <v>105</v>
      </c>
      <c r="F89" t="s">
        <v>181</v>
      </c>
      <c r="G89">
        <v>89</v>
      </c>
    </row>
    <row r="90" spans="3:7" x14ac:dyDescent="0.35">
      <c r="C90" t="s">
        <v>300</v>
      </c>
      <c r="D90">
        <v>89</v>
      </c>
      <c r="E90">
        <v>106</v>
      </c>
      <c r="F90" t="s">
        <v>182</v>
      </c>
      <c r="G90">
        <v>90</v>
      </c>
    </row>
    <row r="91" spans="3:7" x14ac:dyDescent="0.35">
      <c r="C91" t="s">
        <v>301</v>
      </c>
      <c r="D91">
        <v>90</v>
      </c>
      <c r="E91">
        <v>107</v>
      </c>
      <c r="F91" t="s">
        <v>207</v>
      </c>
      <c r="G91">
        <v>91</v>
      </c>
    </row>
    <row r="92" spans="3:7" x14ac:dyDescent="0.35">
      <c r="C92" t="s">
        <v>302</v>
      </c>
      <c r="D92">
        <v>91</v>
      </c>
      <c r="E92">
        <v>108</v>
      </c>
      <c r="F92" t="s">
        <v>208</v>
      </c>
      <c r="G92">
        <v>92</v>
      </c>
    </row>
    <row r="93" spans="3:7" x14ac:dyDescent="0.35">
      <c r="C93" t="s">
        <v>303</v>
      </c>
      <c r="D93">
        <v>92</v>
      </c>
      <c r="E93">
        <v>109</v>
      </c>
      <c r="F93" t="s">
        <v>209</v>
      </c>
      <c r="G93">
        <v>93</v>
      </c>
    </row>
    <row r="94" spans="3:7" x14ac:dyDescent="0.35">
      <c r="C94" t="s">
        <v>304</v>
      </c>
      <c r="D94">
        <v>93</v>
      </c>
      <c r="E94">
        <v>110</v>
      </c>
      <c r="F94" t="s">
        <v>126</v>
      </c>
      <c r="G94">
        <v>94</v>
      </c>
    </row>
    <row r="95" spans="3:7" x14ac:dyDescent="0.35">
      <c r="C95" t="s">
        <v>305</v>
      </c>
      <c r="D95">
        <v>94</v>
      </c>
      <c r="E95">
        <v>111</v>
      </c>
      <c r="F95" t="s">
        <v>127</v>
      </c>
      <c r="G95">
        <v>95</v>
      </c>
    </row>
    <row r="96" spans="3:7" x14ac:dyDescent="0.35">
      <c r="C96" t="s">
        <v>306</v>
      </c>
      <c r="D96">
        <v>95</v>
      </c>
      <c r="E96">
        <v>112</v>
      </c>
      <c r="F96" t="s">
        <v>210</v>
      </c>
      <c r="G96">
        <v>96</v>
      </c>
    </row>
    <row r="97" spans="3:7" x14ac:dyDescent="0.35">
      <c r="C97" t="s">
        <v>307</v>
      </c>
      <c r="D97">
        <v>96</v>
      </c>
      <c r="E97">
        <v>113</v>
      </c>
      <c r="F97" t="s">
        <v>91</v>
      </c>
      <c r="G97">
        <v>97</v>
      </c>
    </row>
    <row r="98" spans="3:7" x14ac:dyDescent="0.35">
      <c r="C98" t="s">
        <v>308</v>
      </c>
      <c r="D98">
        <v>97</v>
      </c>
      <c r="E98">
        <v>114</v>
      </c>
      <c r="F98" t="s">
        <v>211</v>
      </c>
      <c r="G98">
        <v>98</v>
      </c>
    </row>
    <row r="99" spans="3:7" x14ac:dyDescent="0.35">
      <c r="C99" t="s">
        <v>309</v>
      </c>
      <c r="D99">
        <v>98</v>
      </c>
      <c r="E99">
        <v>115</v>
      </c>
      <c r="F99" t="s">
        <v>95</v>
      </c>
      <c r="G99">
        <v>99</v>
      </c>
    </row>
    <row r="100" spans="3:7" x14ac:dyDescent="0.35">
      <c r="C100" t="s">
        <v>310</v>
      </c>
      <c r="D100">
        <v>99</v>
      </c>
      <c r="E100">
        <v>116</v>
      </c>
      <c r="F100" t="s">
        <v>96</v>
      </c>
      <c r="G100">
        <v>100</v>
      </c>
    </row>
    <row r="101" spans="3:7" x14ac:dyDescent="0.35">
      <c r="C101" s="127" t="s">
        <v>311</v>
      </c>
      <c r="D101" s="127">
        <v>100</v>
      </c>
      <c r="E101" s="127"/>
      <c r="F101" t="s">
        <v>97</v>
      </c>
      <c r="G101">
        <v>101</v>
      </c>
    </row>
    <row r="102" spans="3:7" x14ac:dyDescent="0.35">
      <c r="C102" s="127" t="s">
        <v>312</v>
      </c>
      <c r="D102" s="127">
        <v>101</v>
      </c>
      <c r="E102" s="127"/>
      <c r="F102" t="s">
        <v>98</v>
      </c>
      <c r="G102">
        <v>102</v>
      </c>
    </row>
    <row r="103" spans="3:7" x14ac:dyDescent="0.35">
      <c r="C103" t="s">
        <v>313</v>
      </c>
      <c r="D103">
        <v>102</v>
      </c>
      <c r="E103">
        <v>12</v>
      </c>
      <c r="F103" t="s">
        <v>99</v>
      </c>
      <c r="G103">
        <v>103</v>
      </c>
    </row>
    <row r="104" spans="3:7" x14ac:dyDescent="0.35">
      <c r="C104" t="s">
        <v>314</v>
      </c>
      <c r="D104">
        <v>103</v>
      </c>
      <c r="E104">
        <v>13</v>
      </c>
      <c r="F104" t="s">
        <v>100</v>
      </c>
      <c r="G104">
        <v>104</v>
      </c>
    </row>
    <row r="105" spans="3:7" x14ac:dyDescent="0.35">
      <c r="C105" t="s">
        <v>315</v>
      </c>
      <c r="D105">
        <v>104</v>
      </c>
      <c r="E105">
        <v>14</v>
      </c>
      <c r="F105" t="s">
        <v>101</v>
      </c>
      <c r="G105">
        <v>105</v>
      </c>
    </row>
    <row r="106" spans="3:7" x14ac:dyDescent="0.35">
      <c r="C106" t="s">
        <v>316</v>
      </c>
      <c r="D106">
        <v>105</v>
      </c>
      <c r="E106">
        <v>21</v>
      </c>
      <c r="F106" t="s">
        <v>102</v>
      </c>
      <c r="G106">
        <v>106</v>
      </c>
    </row>
    <row r="107" spans="3:7" x14ac:dyDescent="0.35">
      <c r="C107" t="s">
        <v>317</v>
      </c>
      <c r="D107">
        <v>106</v>
      </c>
      <c r="E107">
        <v>93</v>
      </c>
      <c r="F107" t="s">
        <v>103</v>
      </c>
      <c r="G107">
        <v>107</v>
      </c>
    </row>
    <row r="108" spans="3:7" x14ac:dyDescent="0.35">
      <c r="C108" t="s">
        <v>318</v>
      </c>
      <c r="D108">
        <v>107</v>
      </c>
      <c r="E108">
        <v>15</v>
      </c>
      <c r="F108" t="s">
        <v>104</v>
      </c>
      <c r="G108">
        <v>108</v>
      </c>
    </row>
    <row r="109" spans="3:7" x14ac:dyDescent="0.35">
      <c r="C109" s="127" t="s">
        <v>319</v>
      </c>
      <c r="D109" s="127">
        <v>108</v>
      </c>
      <c r="E109" s="127">
        <v>10</v>
      </c>
      <c r="F109" t="s">
        <v>105</v>
      </c>
      <c r="G109">
        <v>109</v>
      </c>
    </row>
    <row r="110" spans="3:7" x14ac:dyDescent="0.35">
      <c r="C110" t="s">
        <v>320</v>
      </c>
      <c r="D110">
        <v>109</v>
      </c>
      <c r="E110">
        <v>16</v>
      </c>
      <c r="F110" t="s">
        <v>106</v>
      </c>
      <c r="G110">
        <v>110</v>
      </c>
    </row>
    <row r="111" spans="3:7" x14ac:dyDescent="0.35">
      <c r="C111" t="s">
        <v>321</v>
      </c>
      <c r="D111">
        <v>110</v>
      </c>
      <c r="E111">
        <v>17</v>
      </c>
      <c r="F111" t="s">
        <v>107</v>
      </c>
      <c r="G111">
        <v>111</v>
      </c>
    </row>
    <row r="112" spans="3:7" x14ac:dyDescent="0.35">
      <c r="C112" t="s">
        <v>322</v>
      </c>
      <c r="D112">
        <v>111</v>
      </c>
      <c r="E112">
        <v>18</v>
      </c>
      <c r="F112" t="s">
        <v>108</v>
      </c>
      <c r="G112">
        <v>112</v>
      </c>
    </row>
    <row r="113" spans="3:7" x14ac:dyDescent="0.35">
      <c r="C113" t="s">
        <v>323</v>
      </c>
      <c r="D113">
        <v>112</v>
      </c>
      <c r="E113">
        <v>94</v>
      </c>
      <c r="F113" t="s">
        <v>109</v>
      </c>
      <c r="G113">
        <v>113</v>
      </c>
    </row>
    <row r="114" spans="3:7" x14ac:dyDescent="0.35">
      <c r="C114" t="s">
        <v>324</v>
      </c>
      <c r="D114">
        <v>113</v>
      </c>
      <c r="E114">
        <v>95</v>
      </c>
      <c r="F114" t="s">
        <v>110</v>
      </c>
      <c r="G114">
        <v>114</v>
      </c>
    </row>
    <row r="115" spans="3:7" x14ac:dyDescent="0.35">
      <c r="C115" t="s">
        <v>325</v>
      </c>
      <c r="D115">
        <v>114</v>
      </c>
      <c r="E115">
        <v>19</v>
      </c>
      <c r="F115" t="s">
        <v>111</v>
      </c>
      <c r="G115">
        <v>115</v>
      </c>
    </row>
    <row r="116" spans="3:7" x14ac:dyDescent="0.35">
      <c r="C116" t="s">
        <v>326</v>
      </c>
      <c r="D116">
        <v>115</v>
      </c>
      <c r="E116">
        <v>20</v>
      </c>
      <c r="F116" t="s">
        <v>112</v>
      </c>
      <c r="G116">
        <v>116</v>
      </c>
    </row>
    <row r="117" spans="3:7" x14ac:dyDescent="0.35">
      <c r="C117" s="127" t="s">
        <v>316</v>
      </c>
      <c r="D117" s="127">
        <v>116</v>
      </c>
      <c r="E117" s="127">
        <v>21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B6DD84-FE28-4418-B241-EBAFC0B91D9D}">
  <sheetPr codeName="Sheet1"/>
  <dimension ref="A1:BX5"/>
  <sheetViews>
    <sheetView topLeftCell="J1" workbookViewId="0">
      <selection activeCell="S1" sqref="S1"/>
    </sheetView>
  </sheetViews>
  <sheetFormatPr defaultRowHeight="14.5" x14ac:dyDescent="0.35"/>
  <cols>
    <col min="1" max="1" width="12.54296875" bestFit="1" customWidth="1"/>
    <col min="2" max="2" width="13.453125" bestFit="1" customWidth="1"/>
    <col min="3" max="3" width="20" bestFit="1" customWidth="1"/>
    <col min="4" max="4" width="9.36328125" bestFit="1" customWidth="1"/>
    <col min="15" max="15" width="13" customWidth="1"/>
    <col min="19" max="19" width="14.7265625" customWidth="1"/>
  </cols>
  <sheetData>
    <row r="1" spans="1:76" s="38" customFormat="1" ht="75" customHeight="1" thickBot="1" x14ac:dyDescent="0.4">
      <c r="A1" s="1" t="s">
        <v>5</v>
      </c>
      <c r="B1" s="2" t="s">
        <v>2</v>
      </c>
      <c r="C1" s="3" t="s">
        <v>0</v>
      </c>
      <c r="D1" s="4" t="s">
        <v>6</v>
      </c>
      <c r="E1" s="5" t="s">
        <v>7</v>
      </c>
      <c r="F1" s="3" t="s">
        <v>8</v>
      </c>
      <c r="G1" s="6" t="s">
        <v>9</v>
      </c>
      <c r="H1" s="4" t="s">
        <v>10</v>
      </c>
      <c r="I1" s="7" t="s">
        <v>4</v>
      </c>
      <c r="J1" s="8" t="s">
        <v>11</v>
      </c>
      <c r="K1" s="9">
        <f>LEN(J1)</f>
        <v>31</v>
      </c>
      <c r="L1" s="10" t="s">
        <v>12</v>
      </c>
      <c r="M1" s="11">
        <f t="shared" ref="M1" si="0">LEN(L1)</f>
        <v>35</v>
      </c>
      <c r="N1" s="12" t="s">
        <v>13</v>
      </c>
      <c r="O1" s="13" t="s">
        <v>14</v>
      </c>
      <c r="P1" s="14" t="s">
        <v>15</v>
      </c>
      <c r="Q1" s="14" t="s">
        <v>16</v>
      </c>
      <c r="R1" s="14" t="s">
        <v>17</v>
      </c>
      <c r="S1" s="15" t="s">
        <v>18</v>
      </c>
      <c r="T1" s="15" t="s">
        <v>19</v>
      </c>
      <c r="U1" s="16" t="s">
        <v>20</v>
      </c>
      <c r="V1" s="16" t="s">
        <v>21</v>
      </c>
      <c r="W1" s="17" t="s">
        <v>22</v>
      </c>
      <c r="X1" s="16" t="s">
        <v>23</v>
      </c>
      <c r="Y1" s="16" t="s">
        <v>24</v>
      </c>
      <c r="Z1" s="16" t="s">
        <v>25</v>
      </c>
      <c r="AA1" s="18" t="s">
        <v>26</v>
      </c>
      <c r="AB1" s="19" t="s">
        <v>27</v>
      </c>
      <c r="AC1" s="19" t="s">
        <v>28</v>
      </c>
      <c r="AD1" s="19" t="s">
        <v>29</v>
      </c>
      <c r="AE1" s="20" t="s">
        <v>30</v>
      </c>
      <c r="AF1" s="21" t="s">
        <v>31</v>
      </c>
      <c r="AG1" s="22" t="s">
        <v>4</v>
      </c>
      <c r="AH1" s="21" t="s">
        <v>32</v>
      </c>
      <c r="AI1" s="21" t="s">
        <v>33</v>
      </c>
      <c r="AJ1" s="21" t="s">
        <v>34</v>
      </c>
      <c r="AK1" s="21" t="s">
        <v>35</v>
      </c>
      <c r="AL1" s="23" t="s">
        <v>36</v>
      </c>
      <c r="AM1" s="22" t="s">
        <v>37</v>
      </c>
      <c r="AN1" s="24" t="s">
        <v>38</v>
      </c>
      <c r="AO1" s="22" t="s">
        <v>39</v>
      </c>
      <c r="AP1" s="25" t="s">
        <v>40</v>
      </c>
      <c r="AQ1" s="26" t="s">
        <v>41</v>
      </c>
      <c r="AR1" s="24" t="s">
        <v>42</v>
      </c>
      <c r="AS1" s="22" t="s">
        <v>43</v>
      </c>
      <c r="AT1" s="22" t="s">
        <v>44</v>
      </c>
      <c r="AU1" s="25" t="s">
        <v>45</v>
      </c>
      <c r="AV1" s="25" t="s">
        <v>46</v>
      </c>
      <c r="AW1" s="25" t="s">
        <v>47</v>
      </c>
      <c r="AX1" s="25" t="s">
        <v>48</v>
      </c>
      <c r="AY1" s="22" t="s">
        <v>49</v>
      </c>
      <c r="AZ1" s="27" t="s">
        <v>50</v>
      </c>
      <c r="BA1" s="22" t="s">
        <v>51</v>
      </c>
      <c r="BB1" s="28"/>
      <c r="BC1" s="29" t="s">
        <v>52</v>
      </c>
      <c r="BD1" s="30" t="s">
        <v>53</v>
      </c>
      <c r="BE1" s="31" t="s">
        <v>54</v>
      </c>
      <c r="BF1" s="32" t="s">
        <v>55</v>
      </c>
      <c r="BG1" s="33"/>
      <c r="BH1" s="25" t="s">
        <v>56</v>
      </c>
      <c r="BI1" s="22" t="s">
        <v>57</v>
      </c>
      <c r="BJ1" s="25" t="s">
        <v>58</v>
      </c>
      <c r="BK1" s="25" t="s">
        <v>59</v>
      </c>
      <c r="BL1" s="25" t="s">
        <v>60</v>
      </c>
      <c r="BM1" s="22" t="s">
        <v>61</v>
      </c>
      <c r="BN1" s="25"/>
      <c r="BO1" s="34" t="s">
        <v>62</v>
      </c>
      <c r="BP1" s="35" t="s">
        <v>63</v>
      </c>
      <c r="BQ1" s="35" t="s">
        <v>64</v>
      </c>
      <c r="BR1" s="35" t="s">
        <v>65</v>
      </c>
      <c r="BS1" s="35" t="s">
        <v>66</v>
      </c>
      <c r="BT1" s="35" t="s">
        <v>67</v>
      </c>
      <c r="BU1" s="35" t="s">
        <v>68</v>
      </c>
      <c r="BV1" s="36" t="s">
        <v>69</v>
      </c>
      <c r="BW1" s="36" t="s">
        <v>70</v>
      </c>
      <c r="BX1" s="37" t="s">
        <v>71</v>
      </c>
    </row>
    <row r="2" spans="1:76" s="44" customFormat="1" x14ac:dyDescent="0.35">
      <c r="A2" s="39">
        <v>6</v>
      </c>
      <c r="B2" s="40" t="s">
        <v>72</v>
      </c>
      <c r="C2" s="41" t="s">
        <v>73</v>
      </c>
      <c r="D2" s="41" t="s">
        <v>72</v>
      </c>
      <c r="E2" s="42" t="s">
        <v>74</v>
      </c>
      <c r="F2" s="41" t="s">
        <v>75</v>
      </c>
      <c r="G2" s="41" t="s">
        <v>76</v>
      </c>
      <c r="H2" s="43">
        <v>31792</v>
      </c>
      <c r="I2" s="44" t="s">
        <v>77</v>
      </c>
      <c r="J2" s="41" t="s">
        <v>78</v>
      </c>
      <c r="L2" s="41" t="s">
        <v>79</v>
      </c>
      <c r="N2" s="45">
        <v>43746</v>
      </c>
      <c r="P2" s="43">
        <v>31800</v>
      </c>
      <c r="Q2" s="43">
        <v>29256</v>
      </c>
      <c r="R2" s="43">
        <v>29256</v>
      </c>
      <c r="S2" s="41">
        <v>1</v>
      </c>
      <c r="T2" s="44" t="s">
        <v>135</v>
      </c>
      <c r="U2" s="44">
        <v>3</v>
      </c>
      <c r="V2">
        <v>100</v>
      </c>
      <c r="W2">
        <v>999999</v>
      </c>
      <c r="X2" s="43">
        <v>1</v>
      </c>
      <c r="Y2" s="43">
        <v>0.5</v>
      </c>
      <c r="Z2" s="43">
        <v>0.25</v>
      </c>
      <c r="AA2" s="44" t="s">
        <v>137</v>
      </c>
      <c r="AB2" s="44" t="s">
        <v>139</v>
      </c>
      <c r="AC2" s="44" t="s">
        <v>144</v>
      </c>
      <c r="AD2" s="44" t="s">
        <v>140</v>
      </c>
      <c r="AE2" s="44" t="s">
        <v>141</v>
      </c>
      <c r="AF2" s="44">
        <v>5</v>
      </c>
      <c r="AG2" s="44" t="s">
        <v>142</v>
      </c>
      <c r="AH2" t="s">
        <v>146</v>
      </c>
      <c r="AI2" s="41">
        <v>2010</v>
      </c>
      <c r="AJ2" s="41">
        <v>0</v>
      </c>
      <c r="AK2" t="s">
        <v>147</v>
      </c>
      <c r="AL2">
        <v>1</v>
      </c>
      <c r="AM2" t="s">
        <v>148</v>
      </c>
      <c r="AN2" t="s">
        <v>149</v>
      </c>
      <c r="AO2" t="s">
        <v>149</v>
      </c>
      <c r="AP2" t="s">
        <v>150</v>
      </c>
      <c r="AQ2" t="s">
        <v>148</v>
      </c>
      <c r="AR2" s="44" t="s">
        <v>159</v>
      </c>
      <c r="AS2" t="s">
        <v>155</v>
      </c>
      <c r="AT2" t="s">
        <v>148</v>
      </c>
      <c r="AU2" t="s">
        <v>155</v>
      </c>
      <c r="AV2" t="s">
        <v>148</v>
      </c>
      <c r="AW2" t="s">
        <v>152</v>
      </c>
      <c r="AX2" t="s">
        <v>156</v>
      </c>
      <c r="AY2" t="s">
        <v>148</v>
      </c>
      <c r="AZ2" t="s">
        <v>161</v>
      </c>
      <c r="BA2">
        <v>256</v>
      </c>
      <c r="BC2">
        <v>10</v>
      </c>
      <c r="BD2" s="44" t="s">
        <v>168</v>
      </c>
      <c r="BE2" t="s">
        <v>162</v>
      </c>
      <c r="BF2" t="s">
        <v>176</v>
      </c>
      <c r="BH2" t="s">
        <v>77</v>
      </c>
      <c r="BI2" t="s">
        <v>173</v>
      </c>
      <c r="BJ2" t="s">
        <v>148</v>
      </c>
      <c r="BK2" t="s">
        <v>168</v>
      </c>
      <c r="BL2">
        <v>12519</v>
      </c>
      <c r="BM2" t="s">
        <v>148</v>
      </c>
      <c r="BO2" t="s">
        <v>170</v>
      </c>
      <c r="BP2" t="s">
        <v>168</v>
      </c>
      <c r="BQ2" s="44" t="s">
        <v>169</v>
      </c>
      <c r="BR2" t="s">
        <v>171</v>
      </c>
      <c r="BS2">
        <v>1</v>
      </c>
      <c r="BT2" t="s">
        <v>172</v>
      </c>
      <c r="BU2">
        <v>92780</v>
      </c>
      <c r="BV2">
        <v>1</v>
      </c>
      <c r="BW2" s="39">
        <v>11</v>
      </c>
      <c r="BX2" s="41" t="s">
        <v>169</v>
      </c>
    </row>
    <row r="3" spans="1:76" s="44" customFormat="1" x14ac:dyDescent="0.35">
      <c r="A3" s="39">
        <v>6</v>
      </c>
      <c r="B3" s="40" t="s">
        <v>72</v>
      </c>
      <c r="C3" s="41" t="s">
        <v>73</v>
      </c>
      <c r="D3" s="41" t="s">
        <v>72</v>
      </c>
      <c r="E3" s="42" t="s">
        <v>134</v>
      </c>
      <c r="F3" s="41" t="s">
        <v>80</v>
      </c>
      <c r="G3" s="41" t="s">
        <v>76</v>
      </c>
      <c r="H3" s="43">
        <v>605368.07999999996</v>
      </c>
      <c r="I3" s="44" t="s">
        <v>77</v>
      </c>
      <c r="J3" s="41" t="s">
        <v>78</v>
      </c>
      <c r="L3" s="41" t="s">
        <v>79</v>
      </c>
      <c r="N3" s="45">
        <v>43746</v>
      </c>
      <c r="P3" s="43">
        <v>31800</v>
      </c>
      <c r="Q3" s="43">
        <v>29256</v>
      </c>
      <c r="R3" s="43">
        <v>29256</v>
      </c>
      <c r="S3" s="41">
        <v>2</v>
      </c>
      <c r="T3" s="44" t="s">
        <v>136</v>
      </c>
      <c r="U3" s="44">
        <v>4</v>
      </c>
      <c r="V3">
        <v>200</v>
      </c>
      <c r="W3">
        <v>999998</v>
      </c>
      <c r="X3" s="43">
        <v>2</v>
      </c>
      <c r="Y3" s="43">
        <v>0.75</v>
      </c>
      <c r="Z3" s="43">
        <v>0.47</v>
      </c>
      <c r="AA3" s="44" t="s">
        <v>138</v>
      </c>
      <c r="AB3" s="44" t="s">
        <v>140</v>
      </c>
      <c r="AC3" s="44" t="s">
        <v>145</v>
      </c>
      <c r="AD3" s="44" t="s">
        <v>139</v>
      </c>
      <c r="AE3" s="44" t="s">
        <v>141</v>
      </c>
      <c r="AF3" s="44">
        <v>3</v>
      </c>
      <c r="AG3" s="44" t="s">
        <v>143</v>
      </c>
      <c r="AH3" t="s">
        <v>146</v>
      </c>
      <c r="AI3" s="41">
        <v>2011</v>
      </c>
      <c r="AJ3" s="41">
        <v>1</v>
      </c>
      <c r="AK3" t="s">
        <v>151</v>
      </c>
      <c r="AL3">
        <v>2</v>
      </c>
      <c r="AM3" t="s">
        <v>152</v>
      </c>
      <c r="AN3" t="s">
        <v>153</v>
      </c>
      <c r="AO3" t="s">
        <v>154</v>
      </c>
      <c r="AP3" t="s">
        <v>143</v>
      </c>
      <c r="AQ3" t="s">
        <v>152</v>
      </c>
      <c r="AR3" s="44" t="s">
        <v>160</v>
      </c>
      <c r="AS3" t="s">
        <v>157</v>
      </c>
      <c r="AT3" t="s">
        <v>152</v>
      </c>
      <c r="AU3" t="s">
        <v>157</v>
      </c>
      <c r="AV3" t="s">
        <v>152</v>
      </c>
      <c r="AW3" t="s">
        <v>148</v>
      </c>
      <c r="AX3" t="s">
        <v>158</v>
      </c>
      <c r="AY3" t="s">
        <v>166</v>
      </c>
      <c r="AZ3" t="s">
        <v>164</v>
      </c>
      <c r="BA3">
        <v>253</v>
      </c>
      <c r="BC3">
        <v>11</v>
      </c>
      <c r="BD3" s="44" t="s">
        <v>169</v>
      </c>
      <c r="BE3" t="s">
        <v>167</v>
      </c>
      <c r="BF3" t="s">
        <v>165</v>
      </c>
      <c r="BH3" t="s">
        <v>77</v>
      </c>
      <c r="BI3" t="s">
        <v>174</v>
      </c>
      <c r="BJ3" t="s">
        <v>152</v>
      </c>
      <c r="BK3" t="s">
        <v>169</v>
      </c>
      <c r="BL3">
        <v>12919</v>
      </c>
      <c r="BM3" t="s">
        <v>148</v>
      </c>
      <c r="BO3" t="s">
        <v>175</v>
      </c>
      <c r="BP3" t="s">
        <v>169</v>
      </c>
      <c r="BQ3" s="44" t="s">
        <v>168</v>
      </c>
      <c r="BR3" t="s">
        <v>171</v>
      </c>
      <c r="BS3">
        <v>1</v>
      </c>
      <c r="BT3" t="s">
        <v>172</v>
      </c>
      <c r="BU3">
        <v>92780</v>
      </c>
      <c r="BV3">
        <v>1</v>
      </c>
      <c r="BW3" s="39">
        <v>12</v>
      </c>
      <c r="BX3" s="41" t="s">
        <v>168</v>
      </c>
    </row>
    <row r="4" spans="1:76" s="44" customFormat="1" x14ac:dyDescent="0.35">
      <c r="A4" s="39">
        <v>6</v>
      </c>
      <c r="B4" s="40" t="s">
        <v>72</v>
      </c>
      <c r="C4" s="41" t="s">
        <v>73</v>
      </c>
      <c r="D4" s="41" t="s">
        <v>72</v>
      </c>
      <c r="E4" s="42" t="s">
        <v>74</v>
      </c>
      <c r="F4" s="41" t="s">
        <v>81</v>
      </c>
      <c r="G4" s="41" t="s">
        <v>82</v>
      </c>
      <c r="H4" s="43">
        <v>908052.12</v>
      </c>
      <c r="I4" s="44" t="s">
        <v>77</v>
      </c>
      <c r="J4" s="41" t="s">
        <v>78</v>
      </c>
      <c r="L4" s="41" t="s">
        <v>79</v>
      </c>
      <c r="N4" s="45">
        <v>43746</v>
      </c>
      <c r="P4" s="43">
        <v>31800</v>
      </c>
      <c r="Q4" s="43">
        <v>29256</v>
      </c>
      <c r="R4" s="43">
        <v>29256</v>
      </c>
      <c r="S4" s="41"/>
      <c r="V4"/>
      <c r="X4" s="43"/>
      <c r="Y4" s="43"/>
      <c r="Z4" s="43"/>
      <c r="AH4" s="41"/>
      <c r="AI4" s="41"/>
      <c r="AJ4" s="41"/>
      <c r="AK4" s="41"/>
      <c r="BL4" s="45"/>
      <c r="BV4" s="39"/>
      <c r="BW4" s="39"/>
      <c r="BX4" s="41"/>
    </row>
    <row r="5" spans="1:76" s="44" customFormat="1" x14ac:dyDescent="0.35">
      <c r="A5" s="39">
        <v>6</v>
      </c>
      <c r="B5" s="40" t="s">
        <v>72</v>
      </c>
      <c r="C5" s="41" t="s">
        <v>73</v>
      </c>
      <c r="D5" s="41" t="s">
        <v>72</v>
      </c>
      <c r="E5" s="42" t="s">
        <v>74</v>
      </c>
      <c r="F5" s="41" t="s">
        <v>83</v>
      </c>
      <c r="G5" s="41" t="s">
        <v>76</v>
      </c>
      <c r="H5" s="43">
        <v>28620</v>
      </c>
      <c r="I5" s="44" t="s">
        <v>77</v>
      </c>
      <c r="J5" s="41" t="s">
        <v>78</v>
      </c>
      <c r="L5" s="41" t="s">
        <v>79</v>
      </c>
      <c r="N5" s="45">
        <v>43746</v>
      </c>
      <c r="P5" s="43">
        <v>31800</v>
      </c>
      <c r="Q5" s="43">
        <v>29256</v>
      </c>
      <c r="R5" s="43">
        <v>29256</v>
      </c>
      <c r="S5" s="41"/>
      <c r="V5"/>
      <c r="X5" s="43"/>
      <c r="Y5" s="43"/>
      <c r="Z5" s="43"/>
      <c r="AH5" s="41"/>
      <c r="AI5" s="41"/>
      <c r="AJ5" s="41"/>
      <c r="AK5" s="41"/>
      <c r="BL5" s="45"/>
      <c r="BV5" s="39"/>
      <c r="BW5" s="39"/>
      <c r="BX5" s="41"/>
    </row>
  </sheetData>
  <conditionalFormatting sqref="C1">
    <cfRule type="duplicateValues" dxfId="67" priority="8" stopIfTrue="1"/>
  </conditionalFormatting>
  <conditionalFormatting sqref="B1">
    <cfRule type="duplicateValues" dxfId="66" priority="9" stopIfTrue="1"/>
  </conditionalFormatting>
  <conditionalFormatting sqref="B1">
    <cfRule type="duplicateValues" dxfId="65" priority="7"/>
  </conditionalFormatting>
  <conditionalFormatting sqref="F1">
    <cfRule type="duplicateValues" dxfId="64" priority="6" stopIfTrue="1"/>
  </conditionalFormatting>
  <conditionalFormatting sqref="J1">
    <cfRule type="duplicateValues" dxfId="63" priority="5" stopIfTrue="1"/>
  </conditionalFormatting>
  <conditionalFormatting sqref="L1">
    <cfRule type="duplicateValues" dxfId="62" priority="4" stopIfTrue="1"/>
  </conditionalFormatting>
  <conditionalFormatting sqref="B1">
    <cfRule type="duplicateValues" dxfId="61" priority="10"/>
    <cfRule type="duplicateValues" dxfId="60" priority="11"/>
    <cfRule type="duplicateValues" dxfId="59" priority="12"/>
  </conditionalFormatting>
  <conditionalFormatting sqref="B1">
    <cfRule type="duplicateValues" dxfId="58" priority="13"/>
    <cfRule type="duplicateValues" dxfId="57" priority="14"/>
    <cfRule type="duplicateValues" dxfId="56" priority="15"/>
    <cfRule type="duplicateValues" dxfId="55" priority="16"/>
  </conditionalFormatting>
  <conditionalFormatting sqref="B1">
    <cfRule type="duplicateValues" dxfId="54" priority="17"/>
    <cfRule type="duplicateValues" dxfId="53" priority="18"/>
    <cfRule type="duplicateValues" dxfId="52" priority="19"/>
    <cfRule type="duplicateValues" dxfId="51" priority="20"/>
    <cfRule type="duplicateValues" dxfId="50" priority="21"/>
    <cfRule type="duplicateValues" dxfId="49" priority="22"/>
    <cfRule type="duplicateValues" dxfId="48" priority="23"/>
    <cfRule type="duplicateValues" dxfId="47" priority="24"/>
    <cfRule type="duplicateValues" dxfId="46" priority="25"/>
    <cfRule type="duplicateValues" dxfId="45" priority="26"/>
  </conditionalFormatting>
  <conditionalFormatting sqref="B1">
    <cfRule type="duplicateValues" dxfId="44" priority="27"/>
  </conditionalFormatting>
  <conditionalFormatting sqref="B1">
    <cfRule type="duplicateValues" dxfId="43" priority="28"/>
    <cfRule type="duplicateValues" dxfId="42" priority="29"/>
  </conditionalFormatting>
  <conditionalFormatting sqref="B1">
    <cfRule type="duplicateValues" dxfId="41" priority="3"/>
    <cfRule type="duplicateValues" dxfId="40" priority="30"/>
    <cfRule type="duplicateValues" dxfId="39" priority="31"/>
    <cfRule type="duplicateValues" dxfId="38" priority="32"/>
  </conditionalFormatting>
  <conditionalFormatting sqref="B1">
    <cfRule type="duplicateValues" dxfId="37" priority="33"/>
    <cfRule type="duplicateValues" dxfId="36" priority="34"/>
  </conditionalFormatting>
  <conditionalFormatting sqref="F1">
    <cfRule type="duplicateValues" dxfId="35" priority="35"/>
  </conditionalFormatting>
  <conditionalFormatting sqref="B2:B5">
    <cfRule type="expression" dxfId="34" priority="1">
      <formula>LEN(B2)&gt;20</formula>
    </cfRule>
    <cfRule type="duplicateValues" dxfId="33" priority="2"/>
  </conditionalFormatting>
  <pageMargins left="0.7" right="0.7" top="0.75" bottom="0.75" header="0.3" footer="0.3"/>
  <pageSetup orientation="portrait" horizontalDpi="300" verticalDpi="30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BB1F9F-297F-4A68-A0AF-F9F613998FF3}">
  <sheetPr codeName="Sheet28"/>
  <dimension ref="A1:DL10"/>
  <sheetViews>
    <sheetView workbookViewId="0">
      <selection activeCell="DI17" sqref="DH17:DI17"/>
    </sheetView>
  </sheetViews>
  <sheetFormatPr defaultRowHeight="14.5" x14ac:dyDescent="0.35"/>
  <cols>
    <col min="2" max="2" width="71.7265625" bestFit="1" customWidth="1"/>
    <col min="3" max="3" width="16.6328125" customWidth="1"/>
    <col min="4" max="4" width="17.81640625" customWidth="1"/>
    <col min="5" max="5" width="14.1796875" customWidth="1"/>
    <col min="7" max="7" width="16.453125" customWidth="1"/>
    <col min="10" max="10" width="27.7265625" customWidth="1"/>
    <col min="11" max="11" width="14.1796875" customWidth="1"/>
    <col min="12" max="12" width="17.36328125" customWidth="1"/>
    <col min="13" max="13" width="23.90625" customWidth="1"/>
    <col min="14" max="14" width="26.453125" customWidth="1"/>
    <col min="15" max="15" width="21.1796875" customWidth="1"/>
    <col min="16" max="16" width="17.81640625" customWidth="1"/>
    <col min="17" max="17" width="11.54296875" customWidth="1"/>
    <col min="22" max="23" width="16.26953125" customWidth="1"/>
    <col min="24" max="24" width="16.81640625" customWidth="1"/>
    <col min="25" max="25" width="14" customWidth="1"/>
    <col min="26" max="26" width="14.453125" customWidth="1"/>
    <col min="27" max="27" width="15.08984375" customWidth="1"/>
    <col min="29" max="29" width="15.54296875" customWidth="1"/>
    <col min="31" max="31" width="14.81640625" customWidth="1"/>
    <col min="32" max="32" width="13.7265625" customWidth="1"/>
    <col min="35" max="35" width="15.90625" customWidth="1"/>
    <col min="41" max="41" width="11.81640625" customWidth="1"/>
    <col min="42" max="42" width="12.6328125" customWidth="1"/>
    <col min="43" max="43" width="15.54296875" customWidth="1"/>
    <col min="44" max="44" width="16.36328125" customWidth="1"/>
    <col min="45" max="45" width="15.54296875" customWidth="1"/>
    <col min="46" max="46" width="19.6328125" customWidth="1"/>
    <col min="50" max="50" width="20.54296875" customWidth="1"/>
    <col min="52" max="52" width="15.6328125" customWidth="1"/>
    <col min="53" max="53" width="20.1796875" customWidth="1"/>
  </cols>
  <sheetData>
    <row r="1" spans="1:116" x14ac:dyDescent="0.35">
      <c r="A1" t="s">
        <v>5</v>
      </c>
      <c r="B1" t="s">
        <v>2</v>
      </c>
      <c r="C1" t="s">
        <v>3</v>
      </c>
      <c r="D1" t="s">
        <v>4</v>
      </c>
      <c r="E1" t="s">
        <v>130</v>
      </c>
      <c r="F1" t="s">
        <v>6</v>
      </c>
      <c r="G1" t="s">
        <v>7</v>
      </c>
      <c r="H1" t="s">
        <v>9</v>
      </c>
      <c r="I1" t="s">
        <v>10</v>
      </c>
      <c r="J1" t="s">
        <v>11</v>
      </c>
      <c r="K1">
        <v>31</v>
      </c>
      <c r="L1" t="s">
        <v>12</v>
      </c>
      <c r="M1">
        <v>35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131</v>
      </c>
      <c r="Z1" t="s">
        <v>25</v>
      </c>
      <c r="AA1" t="s">
        <v>26</v>
      </c>
      <c r="AB1" t="s">
        <v>27</v>
      </c>
      <c r="AC1" t="s">
        <v>28</v>
      </c>
      <c r="AD1" t="s">
        <v>29</v>
      </c>
      <c r="AE1" t="s">
        <v>30</v>
      </c>
      <c r="AF1" t="s">
        <v>31</v>
      </c>
      <c r="AG1" t="s">
        <v>32</v>
      </c>
      <c r="AH1" t="s">
        <v>33</v>
      </c>
      <c r="AI1" t="s">
        <v>34</v>
      </c>
      <c r="AJ1" t="s">
        <v>35</v>
      </c>
      <c r="AK1" t="s">
        <v>36</v>
      </c>
      <c r="AL1" t="s">
        <v>37</v>
      </c>
      <c r="AM1" t="s">
        <v>38</v>
      </c>
      <c r="AN1" t="s">
        <v>39</v>
      </c>
      <c r="AO1" t="s">
        <v>40</v>
      </c>
      <c r="AP1" t="s">
        <v>41</v>
      </c>
      <c r="AQ1" t="s">
        <v>42</v>
      </c>
      <c r="AR1" t="s">
        <v>43</v>
      </c>
      <c r="AS1" t="s">
        <v>44</v>
      </c>
      <c r="AT1" t="s">
        <v>45</v>
      </c>
      <c r="AU1" t="s">
        <v>46</v>
      </c>
      <c r="AV1" t="s">
        <v>47</v>
      </c>
      <c r="AW1" t="s">
        <v>48</v>
      </c>
      <c r="AX1" t="s">
        <v>49</v>
      </c>
      <c r="AY1" t="s">
        <v>50</v>
      </c>
      <c r="AZ1" t="s">
        <v>51</v>
      </c>
      <c r="BA1" t="s">
        <v>52</v>
      </c>
      <c r="BB1" t="s">
        <v>53</v>
      </c>
      <c r="BC1" t="s">
        <v>54</v>
      </c>
      <c r="BD1" t="s">
        <v>55</v>
      </c>
      <c r="BE1" t="s">
        <v>56</v>
      </c>
      <c r="BF1" t="s">
        <v>57</v>
      </c>
      <c r="BG1" t="s">
        <v>58</v>
      </c>
      <c r="BH1" t="s">
        <v>59</v>
      </c>
      <c r="BI1" t="s">
        <v>60</v>
      </c>
      <c r="BJ1" t="s">
        <v>132</v>
      </c>
      <c r="BK1" t="s">
        <v>62</v>
      </c>
      <c r="BL1" t="s">
        <v>63</v>
      </c>
      <c r="BM1" t="s">
        <v>64</v>
      </c>
      <c r="BN1" t="s">
        <v>65</v>
      </c>
      <c r="BO1" t="s">
        <v>66</v>
      </c>
      <c r="BP1" t="s">
        <v>67</v>
      </c>
      <c r="BQ1" t="s">
        <v>68</v>
      </c>
      <c r="BR1" t="s">
        <v>69</v>
      </c>
      <c r="BS1" t="s">
        <v>70</v>
      </c>
      <c r="BT1" t="s">
        <v>84</v>
      </c>
      <c r="BU1" t="s">
        <v>85</v>
      </c>
      <c r="BV1" t="s">
        <v>1</v>
      </c>
      <c r="BW1" t="s">
        <v>86</v>
      </c>
      <c r="BX1" t="s">
        <v>87</v>
      </c>
      <c r="BY1" t="s">
        <v>90</v>
      </c>
      <c r="BZ1" t="s">
        <v>91</v>
      </c>
      <c r="CA1" t="s">
        <v>92</v>
      </c>
      <c r="CB1" t="s">
        <v>93</v>
      </c>
      <c r="CC1" t="s">
        <v>94</v>
      </c>
      <c r="CD1" t="s">
        <v>95</v>
      </c>
      <c r="CE1" t="s">
        <v>96</v>
      </c>
      <c r="CF1" t="s">
        <v>97</v>
      </c>
      <c r="CG1" t="s">
        <v>98</v>
      </c>
      <c r="CH1" t="s">
        <v>99</v>
      </c>
      <c r="CI1" t="s">
        <v>133</v>
      </c>
      <c r="CJ1" t="s">
        <v>101</v>
      </c>
      <c r="CK1" t="s">
        <v>102</v>
      </c>
      <c r="CL1" t="s">
        <v>103</v>
      </c>
      <c r="CM1" t="s">
        <v>104</v>
      </c>
      <c r="CN1" t="s">
        <v>105</v>
      </c>
      <c r="CO1" t="s">
        <v>106</v>
      </c>
      <c r="CP1" t="s">
        <v>107</v>
      </c>
      <c r="CQ1" t="s">
        <v>108</v>
      </c>
      <c r="CR1" t="s">
        <v>109</v>
      </c>
      <c r="CS1" t="s">
        <v>110</v>
      </c>
      <c r="CT1" t="s">
        <v>111</v>
      </c>
      <c r="CU1" t="s">
        <v>112</v>
      </c>
      <c r="CV1" t="s">
        <v>88</v>
      </c>
      <c r="CW1" t="s">
        <v>89</v>
      </c>
      <c r="CX1" t="s">
        <v>116</v>
      </c>
      <c r="CY1" t="s">
        <v>117</v>
      </c>
      <c r="CZ1" t="s">
        <v>118</v>
      </c>
      <c r="DA1" t="s">
        <v>119</v>
      </c>
      <c r="DB1" t="s">
        <v>120</v>
      </c>
      <c r="DC1" t="s">
        <v>121</v>
      </c>
      <c r="DD1" t="s">
        <v>122</v>
      </c>
      <c r="DE1" t="s">
        <v>123</v>
      </c>
      <c r="DF1" t="s">
        <v>124</v>
      </c>
      <c r="DG1" t="s">
        <v>125</v>
      </c>
      <c r="DH1" t="s">
        <v>126</v>
      </c>
      <c r="DI1" t="s">
        <v>127</v>
      </c>
      <c r="DJ1" t="s">
        <v>128</v>
      </c>
      <c r="DK1" t="s">
        <v>129</v>
      </c>
      <c r="DL1" t="s">
        <v>119</v>
      </c>
    </row>
    <row r="2" spans="1:116" x14ac:dyDescent="0.35">
      <c r="A2">
        <v>6</v>
      </c>
      <c r="B2" t="s">
        <v>72</v>
      </c>
      <c r="C2" t="s">
        <v>75</v>
      </c>
      <c r="D2" t="s">
        <v>77</v>
      </c>
      <c r="E2">
        <v>92780</v>
      </c>
      <c r="F2" t="s">
        <v>72</v>
      </c>
      <c r="G2" t="s">
        <v>74</v>
      </c>
      <c r="H2" t="s">
        <v>76</v>
      </c>
      <c r="I2">
        <v>31792</v>
      </c>
      <c r="J2" t="s">
        <v>78</v>
      </c>
      <c r="L2" t="s">
        <v>79</v>
      </c>
      <c r="N2" s="121">
        <v>43746</v>
      </c>
      <c r="P2">
        <v>31800</v>
      </c>
      <c r="Q2">
        <v>29256</v>
      </c>
      <c r="R2">
        <v>29256</v>
      </c>
      <c r="S2">
        <v>1</v>
      </c>
      <c r="T2" t="s">
        <v>135</v>
      </c>
      <c r="U2">
        <v>3</v>
      </c>
      <c r="V2">
        <v>100</v>
      </c>
      <c r="W2">
        <v>999999</v>
      </c>
      <c r="X2">
        <v>1</v>
      </c>
      <c r="Y2">
        <v>0.5</v>
      </c>
      <c r="Z2">
        <v>0.25</v>
      </c>
      <c r="AA2" t="s">
        <v>137</v>
      </c>
      <c r="AB2" t="s">
        <v>139</v>
      </c>
      <c r="AC2" t="s">
        <v>144</v>
      </c>
      <c r="AD2" t="s">
        <v>140</v>
      </c>
      <c r="AE2" t="s">
        <v>141</v>
      </c>
      <c r="AF2">
        <v>5</v>
      </c>
      <c r="AG2" t="s">
        <v>146</v>
      </c>
      <c r="AH2">
        <v>2010</v>
      </c>
      <c r="AI2">
        <v>0</v>
      </c>
      <c r="AJ2" t="s">
        <v>147</v>
      </c>
      <c r="AK2">
        <v>1</v>
      </c>
      <c r="AL2" t="s">
        <v>148</v>
      </c>
      <c r="AM2" t="s">
        <v>149</v>
      </c>
      <c r="AN2" t="s">
        <v>149</v>
      </c>
      <c r="AO2" t="s">
        <v>150</v>
      </c>
      <c r="AP2" t="s">
        <v>148</v>
      </c>
      <c r="AQ2" t="s">
        <v>159</v>
      </c>
      <c r="AR2" t="s">
        <v>155</v>
      </c>
      <c r="AS2" t="s">
        <v>148</v>
      </c>
      <c r="AT2" t="s">
        <v>155</v>
      </c>
      <c r="AU2" t="s">
        <v>148</v>
      </c>
      <c r="AV2" t="s">
        <v>152</v>
      </c>
      <c r="AW2" t="s">
        <v>156</v>
      </c>
      <c r="AX2" t="s">
        <v>148</v>
      </c>
      <c r="AY2" t="s">
        <v>161</v>
      </c>
      <c r="AZ2">
        <v>256</v>
      </c>
      <c r="BA2">
        <v>10</v>
      </c>
      <c r="BB2" t="s">
        <v>168</v>
      </c>
      <c r="BC2" t="s">
        <v>162</v>
      </c>
      <c r="BD2" t="s">
        <v>176</v>
      </c>
      <c r="BE2" t="s">
        <v>77</v>
      </c>
      <c r="BF2" t="s">
        <v>173</v>
      </c>
      <c r="BG2" t="s">
        <v>148</v>
      </c>
      <c r="BH2" t="s">
        <v>168</v>
      </c>
      <c r="BI2">
        <v>12519</v>
      </c>
      <c r="BJ2" t="s">
        <v>148</v>
      </c>
      <c r="BK2" t="s">
        <v>170</v>
      </c>
      <c r="BL2" t="s">
        <v>168</v>
      </c>
      <c r="BM2" t="s">
        <v>169</v>
      </c>
      <c r="BN2" t="s">
        <v>171</v>
      </c>
      <c r="BO2">
        <v>1</v>
      </c>
      <c r="BP2" t="s">
        <v>172</v>
      </c>
      <c r="BQ2">
        <v>92780</v>
      </c>
      <c r="BR2">
        <v>1</v>
      </c>
      <c r="BS2">
        <v>11</v>
      </c>
    </row>
    <row r="3" spans="1:116" x14ac:dyDescent="0.35">
      <c r="A3">
        <v>6</v>
      </c>
      <c r="B3" t="s">
        <v>72</v>
      </c>
      <c r="C3" t="s">
        <v>80</v>
      </c>
      <c r="D3" t="s">
        <v>77</v>
      </c>
      <c r="E3">
        <v>92780</v>
      </c>
      <c r="F3" t="s">
        <v>72</v>
      </c>
      <c r="G3" t="s">
        <v>134</v>
      </c>
      <c r="H3" t="s">
        <v>76</v>
      </c>
      <c r="I3">
        <v>605368.07999999996</v>
      </c>
      <c r="J3" t="s">
        <v>78</v>
      </c>
      <c r="L3" t="s">
        <v>79</v>
      </c>
      <c r="N3" s="121">
        <v>43746</v>
      </c>
      <c r="P3">
        <v>31800</v>
      </c>
      <c r="Q3">
        <v>29256</v>
      </c>
      <c r="R3">
        <v>29256</v>
      </c>
      <c r="S3">
        <v>2</v>
      </c>
      <c r="T3" t="s">
        <v>136</v>
      </c>
      <c r="U3">
        <v>4</v>
      </c>
      <c r="V3">
        <v>200</v>
      </c>
      <c r="W3">
        <v>999998</v>
      </c>
      <c r="X3">
        <v>2</v>
      </c>
      <c r="Y3">
        <v>0.75</v>
      </c>
      <c r="Z3">
        <v>0.47</v>
      </c>
      <c r="AA3" t="s">
        <v>138</v>
      </c>
      <c r="AB3" t="s">
        <v>140</v>
      </c>
      <c r="AC3" t="s">
        <v>145</v>
      </c>
      <c r="AD3" t="s">
        <v>139</v>
      </c>
      <c r="AE3" t="s">
        <v>141</v>
      </c>
      <c r="AF3">
        <v>3</v>
      </c>
      <c r="AG3" t="s">
        <v>146</v>
      </c>
      <c r="AH3">
        <v>2011</v>
      </c>
      <c r="AI3">
        <v>1</v>
      </c>
      <c r="AJ3" t="s">
        <v>151</v>
      </c>
      <c r="AK3">
        <v>2</v>
      </c>
      <c r="AL3" t="s">
        <v>152</v>
      </c>
      <c r="AM3" t="s">
        <v>153</v>
      </c>
      <c r="AN3" t="s">
        <v>154</v>
      </c>
      <c r="AO3" t="s">
        <v>143</v>
      </c>
      <c r="AP3" t="s">
        <v>152</v>
      </c>
      <c r="AQ3" t="s">
        <v>160</v>
      </c>
      <c r="AR3" t="s">
        <v>157</v>
      </c>
      <c r="AS3" t="s">
        <v>152</v>
      </c>
      <c r="AT3" t="s">
        <v>157</v>
      </c>
      <c r="AU3" t="s">
        <v>152</v>
      </c>
      <c r="AV3" t="s">
        <v>148</v>
      </c>
      <c r="AW3" t="s">
        <v>158</v>
      </c>
      <c r="AX3" t="s">
        <v>166</v>
      </c>
      <c r="AY3" t="s">
        <v>164</v>
      </c>
      <c r="AZ3">
        <v>253</v>
      </c>
      <c r="BA3">
        <v>11</v>
      </c>
      <c r="BB3" t="s">
        <v>169</v>
      </c>
      <c r="BC3" t="s">
        <v>167</v>
      </c>
      <c r="BD3" t="s">
        <v>165</v>
      </c>
      <c r="BE3" t="s">
        <v>77</v>
      </c>
      <c r="BF3" t="s">
        <v>174</v>
      </c>
      <c r="BG3" t="s">
        <v>152</v>
      </c>
      <c r="BH3" t="s">
        <v>169</v>
      </c>
      <c r="BI3">
        <v>12919</v>
      </c>
      <c r="BJ3" t="s">
        <v>148</v>
      </c>
      <c r="BK3" t="s">
        <v>175</v>
      </c>
      <c r="BL3" t="s">
        <v>169</v>
      </c>
      <c r="BM3" t="s">
        <v>168</v>
      </c>
      <c r="BN3" t="s">
        <v>171</v>
      </c>
      <c r="BO3">
        <v>1</v>
      </c>
      <c r="BP3" t="s">
        <v>172</v>
      </c>
      <c r="BQ3">
        <v>92780</v>
      </c>
      <c r="BR3">
        <v>1</v>
      </c>
      <c r="BS3">
        <v>12</v>
      </c>
    </row>
    <row r="4" spans="1:116" x14ac:dyDescent="0.35">
      <c r="A4">
        <v>6</v>
      </c>
      <c r="B4" t="s">
        <v>72</v>
      </c>
      <c r="C4" t="s">
        <v>81</v>
      </c>
      <c r="D4" t="s">
        <v>77</v>
      </c>
      <c r="F4" t="s">
        <v>72</v>
      </c>
      <c r="G4" t="s">
        <v>74</v>
      </c>
      <c r="H4" t="s">
        <v>82</v>
      </c>
      <c r="I4">
        <v>908052.12</v>
      </c>
      <c r="J4" t="s">
        <v>78</v>
      </c>
      <c r="L4" t="s">
        <v>79</v>
      </c>
      <c r="N4" s="121">
        <v>43746</v>
      </c>
      <c r="P4">
        <v>31800</v>
      </c>
      <c r="Q4">
        <v>29256</v>
      </c>
      <c r="R4">
        <v>29256</v>
      </c>
    </row>
    <row r="5" spans="1:116" x14ac:dyDescent="0.35">
      <c r="A5">
        <v>6</v>
      </c>
      <c r="B5" t="s">
        <v>72</v>
      </c>
      <c r="C5" t="s">
        <v>83</v>
      </c>
      <c r="D5" t="s">
        <v>77</v>
      </c>
      <c r="F5" t="s">
        <v>72</v>
      </c>
      <c r="G5" t="s">
        <v>74</v>
      </c>
      <c r="H5" t="s">
        <v>76</v>
      </c>
      <c r="I5">
        <v>28620</v>
      </c>
      <c r="J5" t="s">
        <v>78</v>
      </c>
      <c r="L5" t="s">
        <v>79</v>
      </c>
      <c r="N5" s="121">
        <v>43746</v>
      </c>
      <c r="P5">
        <v>31800</v>
      </c>
      <c r="Q5">
        <v>29256</v>
      </c>
      <c r="R5">
        <v>29256</v>
      </c>
    </row>
    <row r="6" spans="1:116" x14ac:dyDescent="0.35">
      <c r="A6">
        <v>6</v>
      </c>
      <c r="B6" t="s">
        <v>72</v>
      </c>
      <c r="C6" t="s">
        <v>75</v>
      </c>
      <c r="D6" t="s">
        <v>77</v>
      </c>
      <c r="E6" t="s">
        <v>194</v>
      </c>
      <c r="BT6">
        <v>1234</v>
      </c>
      <c r="BU6" s="121">
        <v>5678</v>
      </c>
      <c r="BV6" t="s">
        <v>185</v>
      </c>
      <c r="BW6" t="s">
        <v>187</v>
      </c>
      <c r="BX6" s="121">
        <v>5678</v>
      </c>
      <c r="BY6" s="121">
        <v>43806</v>
      </c>
      <c r="BZ6">
        <v>12000</v>
      </c>
      <c r="CA6">
        <v>11000</v>
      </c>
      <c r="CB6">
        <v>500</v>
      </c>
      <c r="CC6">
        <v>650</v>
      </c>
      <c r="CD6">
        <v>600</v>
      </c>
      <c r="CE6">
        <v>700</v>
      </c>
      <c r="CF6" t="s">
        <v>148</v>
      </c>
      <c r="CG6" t="s">
        <v>152</v>
      </c>
      <c r="CH6" t="s">
        <v>152</v>
      </c>
      <c r="CI6" t="s">
        <v>184</v>
      </c>
      <c r="CJ6" t="s">
        <v>148</v>
      </c>
      <c r="CK6" t="s">
        <v>188</v>
      </c>
      <c r="CL6" t="s">
        <v>160</v>
      </c>
      <c r="CM6" t="s">
        <v>189</v>
      </c>
      <c r="CN6" t="s">
        <v>190</v>
      </c>
      <c r="CO6" t="s">
        <v>191</v>
      </c>
      <c r="CP6" t="s">
        <v>168</v>
      </c>
      <c r="CQ6" t="s">
        <v>169</v>
      </c>
      <c r="CR6" t="s">
        <v>192</v>
      </c>
      <c r="CS6" t="s">
        <v>168</v>
      </c>
      <c r="CT6" t="s">
        <v>150</v>
      </c>
      <c r="CU6" t="s">
        <v>186</v>
      </c>
    </row>
    <row r="7" spans="1:116" x14ac:dyDescent="0.35">
      <c r="A7">
        <v>1</v>
      </c>
      <c r="B7" t="s">
        <v>72</v>
      </c>
      <c r="E7" t="s">
        <v>195</v>
      </c>
      <c r="BT7" t="s">
        <v>73</v>
      </c>
      <c r="CR7" t="s">
        <v>193</v>
      </c>
      <c r="CS7" t="s">
        <v>168</v>
      </c>
      <c r="CT7" t="s">
        <v>188</v>
      </c>
      <c r="CU7" t="s">
        <v>160</v>
      </c>
    </row>
    <row r="8" spans="1:116" x14ac:dyDescent="0.35">
      <c r="A8">
        <v>2</v>
      </c>
      <c r="B8" t="s">
        <v>72</v>
      </c>
      <c r="BT8" t="s">
        <v>73</v>
      </c>
    </row>
    <row r="9" spans="1:116" x14ac:dyDescent="0.35">
      <c r="A9" t="s">
        <v>5</v>
      </c>
      <c r="B9" t="s">
        <v>196</v>
      </c>
      <c r="C9" t="s">
        <v>197</v>
      </c>
      <c r="D9" t="s">
        <v>2</v>
      </c>
      <c r="E9" t="s">
        <v>3</v>
      </c>
      <c r="F9" t="s">
        <v>4</v>
      </c>
      <c r="G9" t="s">
        <v>130</v>
      </c>
      <c r="H9" t="s">
        <v>43</v>
      </c>
      <c r="I9" t="s">
        <v>44</v>
      </c>
      <c r="J9" t="s">
        <v>198</v>
      </c>
      <c r="K9" t="s">
        <v>50</v>
      </c>
      <c r="L9" t="s">
        <v>116</v>
      </c>
      <c r="M9" t="s">
        <v>117</v>
      </c>
      <c r="N9" t="s">
        <v>118</v>
      </c>
      <c r="O9" t="s">
        <v>121</v>
      </c>
      <c r="P9" t="s">
        <v>123</v>
      </c>
      <c r="Q9" t="s">
        <v>124</v>
      </c>
      <c r="R9" t="s">
        <v>125</v>
      </c>
      <c r="S9" t="s">
        <v>128</v>
      </c>
      <c r="T9" t="s">
        <v>129</v>
      </c>
      <c r="U9" t="s">
        <v>119</v>
      </c>
      <c r="V9" t="s">
        <v>52</v>
      </c>
      <c r="W9" t="s">
        <v>51</v>
      </c>
      <c r="X9" t="s">
        <v>10</v>
      </c>
      <c r="Y9" t="s">
        <v>9</v>
      </c>
      <c r="Z9" t="s">
        <v>7</v>
      </c>
      <c r="AA9" t="s">
        <v>6</v>
      </c>
      <c r="AB9" t="s">
        <v>17</v>
      </c>
      <c r="AC9" t="s">
        <v>16</v>
      </c>
      <c r="AD9" t="s">
        <v>54</v>
      </c>
      <c r="AE9" t="s">
        <v>36</v>
      </c>
      <c r="AF9" t="s">
        <v>61</v>
      </c>
      <c r="AG9" t="s">
        <v>11</v>
      </c>
      <c r="AH9" t="s">
        <v>12</v>
      </c>
      <c r="AI9" t="s">
        <v>13</v>
      </c>
      <c r="AJ9" t="s">
        <v>14</v>
      </c>
      <c r="AK9" t="s">
        <v>15</v>
      </c>
      <c r="AL9" t="s">
        <v>18</v>
      </c>
      <c r="AM9" t="s">
        <v>199</v>
      </c>
      <c r="AN9" t="s">
        <v>20</v>
      </c>
      <c r="AO9" t="s">
        <v>21</v>
      </c>
      <c r="AP9" t="s">
        <v>22</v>
      </c>
      <c r="AQ9" t="s">
        <v>23</v>
      </c>
      <c r="AR9" t="s">
        <v>24</v>
      </c>
      <c r="AS9" t="s">
        <v>25</v>
      </c>
      <c r="AT9" t="s">
        <v>26</v>
      </c>
      <c r="AU9" t="s">
        <v>27</v>
      </c>
      <c r="AV9" t="s">
        <v>28</v>
      </c>
      <c r="AW9" t="s">
        <v>29</v>
      </c>
      <c r="AX9" t="s">
        <v>30</v>
      </c>
      <c r="AY9" t="s">
        <v>31</v>
      </c>
      <c r="AZ9" t="s">
        <v>32</v>
      </c>
      <c r="BA9" t="s">
        <v>33</v>
      </c>
      <c r="BB9" t="s">
        <v>200</v>
      </c>
      <c r="BC9" t="s">
        <v>201</v>
      </c>
      <c r="BD9" t="s">
        <v>37</v>
      </c>
      <c r="BE9" t="s">
        <v>38</v>
      </c>
      <c r="BF9" t="s">
        <v>39</v>
      </c>
      <c r="BG9" t="s">
        <v>40</v>
      </c>
      <c r="BH9" t="s">
        <v>41</v>
      </c>
      <c r="BI9" t="s">
        <v>42</v>
      </c>
      <c r="BJ9" t="s">
        <v>202</v>
      </c>
      <c r="BK9" t="s">
        <v>46</v>
      </c>
      <c r="BL9" t="s">
        <v>47</v>
      </c>
      <c r="BM9" t="s">
        <v>48</v>
      </c>
      <c r="BN9" t="s">
        <v>55</v>
      </c>
      <c r="BO9" t="s">
        <v>56</v>
      </c>
      <c r="BP9" t="s">
        <v>57</v>
      </c>
      <c r="BQ9" t="s">
        <v>58</v>
      </c>
      <c r="BR9" t="s">
        <v>53</v>
      </c>
      <c r="BS9" t="s">
        <v>59</v>
      </c>
      <c r="BT9" t="s">
        <v>62</v>
      </c>
      <c r="BU9" t="s">
        <v>63</v>
      </c>
      <c r="BV9" t="s">
        <v>64</v>
      </c>
      <c r="BW9" t="s">
        <v>65</v>
      </c>
      <c r="BX9" t="s">
        <v>66</v>
      </c>
      <c r="BY9" t="s">
        <v>67</v>
      </c>
      <c r="BZ9" t="s">
        <v>68</v>
      </c>
      <c r="CA9" t="s">
        <v>69</v>
      </c>
      <c r="CB9" t="s">
        <v>70</v>
      </c>
      <c r="CC9" t="s">
        <v>177</v>
      </c>
      <c r="CD9" t="s">
        <v>178</v>
      </c>
      <c r="CE9" t="s">
        <v>179</v>
      </c>
      <c r="CF9" t="s">
        <v>180</v>
      </c>
      <c r="CG9" t="s">
        <v>203</v>
      </c>
      <c r="CH9" t="s">
        <v>204</v>
      </c>
      <c r="CI9" t="s">
        <v>205</v>
      </c>
      <c r="CJ9" t="s">
        <v>206</v>
      </c>
      <c r="CK9" t="s">
        <v>181</v>
      </c>
      <c r="CL9" t="s">
        <v>182</v>
      </c>
      <c r="CM9" t="s">
        <v>207</v>
      </c>
      <c r="CN9" t="s">
        <v>208</v>
      </c>
      <c r="CO9" t="s">
        <v>209</v>
      </c>
      <c r="CP9" t="s">
        <v>126</v>
      </c>
      <c r="CQ9" t="s">
        <v>127</v>
      </c>
      <c r="CR9" t="s">
        <v>210</v>
      </c>
      <c r="CS9" t="s">
        <v>91</v>
      </c>
      <c r="CT9" t="s">
        <v>211</v>
      </c>
      <c r="CU9" t="s">
        <v>95</v>
      </c>
      <c r="CV9" t="s">
        <v>96</v>
      </c>
      <c r="CW9" t="s">
        <v>97</v>
      </c>
      <c r="CX9" t="s">
        <v>98</v>
      </c>
      <c r="CY9" t="s">
        <v>99</v>
      </c>
      <c r="CZ9" t="s">
        <v>100</v>
      </c>
      <c r="DA9" t="s">
        <v>101</v>
      </c>
      <c r="DB9" t="s">
        <v>102</v>
      </c>
      <c r="DC9" t="s">
        <v>103</v>
      </c>
      <c r="DD9" t="s">
        <v>104</v>
      </c>
      <c r="DE9" t="s">
        <v>105</v>
      </c>
      <c r="DF9" t="s">
        <v>106</v>
      </c>
      <c r="DG9" t="s">
        <v>107</v>
      </c>
      <c r="DH9" t="s">
        <v>108</v>
      </c>
      <c r="DI9" t="s">
        <v>109</v>
      </c>
      <c r="DJ9" t="s">
        <v>110</v>
      </c>
      <c r="DK9" t="s">
        <v>111</v>
      </c>
      <c r="DL9" t="s">
        <v>112</v>
      </c>
    </row>
    <row r="10" spans="1:116" x14ac:dyDescent="0.35">
      <c r="A10" t="s">
        <v>5</v>
      </c>
      <c r="B10" t="s">
        <v>2</v>
      </c>
      <c r="C10" t="s">
        <v>3</v>
      </c>
      <c r="D10" t="s">
        <v>4</v>
      </c>
      <c r="E10" t="s">
        <v>130</v>
      </c>
      <c r="F10" t="s">
        <v>6</v>
      </c>
      <c r="G10" t="s">
        <v>7</v>
      </c>
      <c r="H10" t="s">
        <v>9</v>
      </c>
      <c r="I10" t="s">
        <v>10</v>
      </c>
      <c r="J10" t="s">
        <v>11</v>
      </c>
      <c r="K10">
        <v>31</v>
      </c>
      <c r="L10" t="s">
        <v>12</v>
      </c>
      <c r="M10">
        <v>35</v>
      </c>
      <c r="N10" t="s">
        <v>13</v>
      </c>
      <c r="O10" t="s">
        <v>14</v>
      </c>
      <c r="P10" t="s">
        <v>15</v>
      </c>
      <c r="Q10" t="s">
        <v>16</v>
      </c>
      <c r="R10" t="s">
        <v>17</v>
      </c>
      <c r="S10" t="s">
        <v>18</v>
      </c>
      <c r="T10" t="s">
        <v>19</v>
      </c>
      <c r="U10" t="s">
        <v>20</v>
      </c>
      <c r="V10" t="s">
        <v>21</v>
      </c>
      <c r="W10" t="s">
        <v>22</v>
      </c>
      <c r="X10" t="s">
        <v>23</v>
      </c>
      <c r="Y10" t="s">
        <v>131</v>
      </c>
      <c r="Z10" t="s">
        <v>25</v>
      </c>
      <c r="AA10" t="s">
        <v>26</v>
      </c>
      <c r="AB10" t="s">
        <v>27</v>
      </c>
      <c r="AC10" t="s">
        <v>28</v>
      </c>
      <c r="AD10" t="s">
        <v>29</v>
      </c>
      <c r="AE10" t="s">
        <v>30</v>
      </c>
      <c r="AF10" t="s">
        <v>31</v>
      </c>
      <c r="AG10" t="s">
        <v>32</v>
      </c>
      <c r="AH10" t="s">
        <v>33</v>
      </c>
      <c r="AI10" t="s">
        <v>34</v>
      </c>
      <c r="AJ10" t="s">
        <v>35</v>
      </c>
      <c r="AK10" t="s">
        <v>36</v>
      </c>
      <c r="AL10" t="s">
        <v>37</v>
      </c>
      <c r="AM10" t="s">
        <v>38</v>
      </c>
      <c r="AN10" t="s">
        <v>39</v>
      </c>
      <c r="AO10" t="s">
        <v>40</v>
      </c>
      <c r="AP10" t="s">
        <v>41</v>
      </c>
      <c r="AQ10" t="s">
        <v>42</v>
      </c>
      <c r="AR10" t="s">
        <v>43</v>
      </c>
      <c r="AS10" t="s">
        <v>44</v>
      </c>
      <c r="AT10" t="s">
        <v>45</v>
      </c>
      <c r="AU10" t="s">
        <v>46</v>
      </c>
      <c r="AV10" t="s">
        <v>47</v>
      </c>
      <c r="AW10" t="s">
        <v>48</v>
      </c>
      <c r="AX10" t="s">
        <v>49</v>
      </c>
      <c r="AY10" t="s">
        <v>50</v>
      </c>
      <c r="AZ10" t="s">
        <v>51</v>
      </c>
      <c r="BA10" t="s">
        <v>52</v>
      </c>
      <c r="BB10" t="s">
        <v>53</v>
      </c>
      <c r="BC10" t="s">
        <v>54</v>
      </c>
      <c r="BD10" t="s">
        <v>55</v>
      </c>
      <c r="BE10" t="s">
        <v>56</v>
      </c>
      <c r="BF10" t="s">
        <v>57</v>
      </c>
      <c r="BG10" t="s">
        <v>58</v>
      </c>
      <c r="BH10" t="s">
        <v>59</v>
      </c>
      <c r="BI10" t="s">
        <v>60</v>
      </c>
      <c r="BJ10" t="s">
        <v>132</v>
      </c>
      <c r="BK10" t="s">
        <v>62</v>
      </c>
      <c r="BL10" t="s">
        <v>63</v>
      </c>
      <c r="BM10" t="s">
        <v>64</v>
      </c>
      <c r="BN10" t="s">
        <v>65</v>
      </c>
      <c r="BO10" t="s">
        <v>66</v>
      </c>
      <c r="BP10" t="s">
        <v>67</v>
      </c>
      <c r="BQ10" t="s">
        <v>68</v>
      </c>
      <c r="BR10" t="s">
        <v>69</v>
      </c>
      <c r="BS10" t="s">
        <v>70</v>
      </c>
      <c r="BT10" t="s">
        <v>84</v>
      </c>
      <c r="BU10" t="s">
        <v>85</v>
      </c>
      <c r="BV10" t="s">
        <v>1</v>
      </c>
      <c r="BW10" t="s">
        <v>86</v>
      </c>
      <c r="BX10" t="s">
        <v>87</v>
      </c>
      <c r="BY10" t="s">
        <v>90</v>
      </c>
      <c r="BZ10" t="s">
        <v>91</v>
      </c>
      <c r="CA10" t="s">
        <v>92</v>
      </c>
      <c r="CB10" t="s">
        <v>93</v>
      </c>
      <c r="CC10" t="s">
        <v>94</v>
      </c>
      <c r="CD10" t="s">
        <v>95</v>
      </c>
      <c r="CE10" t="s">
        <v>96</v>
      </c>
      <c r="CF10" t="s">
        <v>97</v>
      </c>
      <c r="CG10" t="s">
        <v>98</v>
      </c>
      <c r="CH10" t="s">
        <v>99</v>
      </c>
      <c r="CI10" t="s">
        <v>133</v>
      </c>
      <c r="CJ10" t="s">
        <v>101</v>
      </c>
      <c r="CK10" t="s">
        <v>102</v>
      </c>
      <c r="CL10" t="s">
        <v>103</v>
      </c>
      <c r="CM10" t="s">
        <v>104</v>
      </c>
      <c r="CN10" t="s">
        <v>105</v>
      </c>
      <c r="CO10" t="s">
        <v>106</v>
      </c>
      <c r="CP10" t="s">
        <v>107</v>
      </c>
      <c r="CQ10" t="s">
        <v>108</v>
      </c>
      <c r="CR10" t="s">
        <v>109</v>
      </c>
      <c r="CS10" t="s">
        <v>110</v>
      </c>
      <c r="CT10" t="s">
        <v>111</v>
      </c>
      <c r="CU10" t="s">
        <v>112</v>
      </c>
      <c r="CV10" t="s">
        <v>88</v>
      </c>
      <c r="CW10" t="s">
        <v>89</v>
      </c>
      <c r="CX10" t="s">
        <v>116</v>
      </c>
      <c r="CY10" t="s">
        <v>117</v>
      </c>
      <c r="CZ10" t="s">
        <v>118</v>
      </c>
      <c r="DA10" t="s">
        <v>119</v>
      </c>
      <c r="DB10" t="s">
        <v>120</v>
      </c>
      <c r="DC10" t="s">
        <v>121</v>
      </c>
      <c r="DD10" t="s">
        <v>122</v>
      </c>
      <c r="DE10" t="s">
        <v>123</v>
      </c>
      <c r="DF10" t="s">
        <v>124</v>
      </c>
      <c r="DG10" t="s">
        <v>125</v>
      </c>
      <c r="DH10" t="s">
        <v>126</v>
      </c>
      <c r="DI10" t="s">
        <v>127</v>
      </c>
      <c r="DJ10" t="s">
        <v>128</v>
      </c>
      <c r="DK10" t="s">
        <v>129</v>
      </c>
      <c r="DL10" t="s">
        <v>119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A947F9-ADC6-4A4D-96C1-6C728DCCDF18}">
  <sheetPr codeName="Sheet17"/>
  <dimension ref="A1:AK16"/>
  <sheetViews>
    <sheetView workbookViewId="0">
      <selection activeCell="D4" sqref="D4"/>
    </sheetView>
  </sheetViews>
  <sheetFormatPr defaultColWidth="9.1796875" defaultRowHeight="13" x14ac:dyDescent="0.35"/>
  <cols>
    <col min="1" max="1" width="12.1796875" style="39" customWidth="1"/>
    <col min="2" max="2" width="29.7265625" style="42" customWidth="1"/>
    <col min="3" max="3" width="15.1796875" style="42" customWidth="1"/>
    <col min="4" max="4" width="13.7265625" style="42" customWidth="1"/>
    <col min="5" max="5" width="31" style="42" customWidth="1"/>
    <col min="6" max="6" width="11.26953125" style="42" customWidth="1"/>
    <col min="7" max="7" width="9.81640625" style="41" bestFit="1" customWidth="1"/>
    <col min="8" max="8" width="9.453125" style="43" customWidth="1"/>
    <col min="9" max="9" width="11.26953125" style="41" customWidth="1"/>
    <col min="10" max="10" width="13" style="41" customWidth="1"/>
    <col min="11" max="11" width="15.54296875" style="41" customWidth="1"/>
    <col min="12" max="12" width="11.81640625" style="79" bestFit="1" customWidth="1"/>
    <col min="13" max="13" width="9.7265625" style="43" bestFit="1" customWidth="1"/>
    <col min="14" max="14" width="9.1796875" style="43" bestFit="1"/>
    <col min="15" max="15" width="9.81640625" style="43" bestFit="1" customWidth="1"/>
    <col min="16" max="16" width="12.453125" style="43" bestFit="1" customWidth="1"/>
    <col min="17" max="17" width="9.81640625" style="43" bestFit="1" customWidth="1"/>
    <col min="18" max="18" width="8.7265625" style="43" bestFit="1" customWidth="1"/>
    <col min="19" max="23" width="3.26953125" style="41" bestFit="1" customWidth="1"/>
    <col min="24" max="24" width="7.81640625" style="41" bestFit="1" customWidth="1"/>
    <col min="25" max="26" width="9.81640625" style="41" bestFit="1" customWidth="1"/>
    <col min="27" max="27" width="7.81640625" style="41" bestFit="1" customWidth="1"/>
    <col min="28" max="28" width="12" style="41" bestFit="1" customWidth="1"/>
    <col min="29" max="29" width="6.7265625" style="41" bestFit="1" customWidth="1"/>
    <col min="30" max="30" width="9.1796875" style="41"/>
    <col min="31" max="31" width="8.54296875" style="41" customWidth="1"/>
    <col min="32" max="32" width="9.26953125" style="41" bestFit="1" customWidth="1"/>
    <col min="33" max="33" width="6.453125" style="41" bestFit="1" customWidth="1"/>
    <col min="34" max="34" width="5.1796875" style="41" bestFit="1" customWidth="1"/>
    <col min="35" max="35" width="9.1796875" style="41"/>
    <col min="36" max="36" width="8.81640625" style="41" bestFit="1" customWidth="1"/>
    <col min="37" max="16384" width="9.1796875" style="41"/>
  </cols>
  <sheetData>
    <row r="1" spans="1:37" s="62" customFormat="1" ht="26.5" thickBot="1" x14ac:dyDescent="0.35">
      <c r="B1" s="63"/>
      <c r="C1" s="63"/>
      <c r="D1" s="63"/>
      <c r="E1" s="63"/>
      <c r="F1" s="63"/>
      <c r="G1" s="64"/>
      <c r="H1" s="64"/>
      <c r="I1" s="64"/>
      <c r="J1" s="64"/>
      <c r="K1" s="64"/>
      <c r="L1" s="65"/>
      <c r="M1" s="66" t="str">
        <f>[1]Entry!F1</f>
        <v>Received Date:</v>
      </c>
      <c r="N1" s="67"/>
      <c r="O1" s="68" t="str">
        <f>[1]Entry!H1</f>
        <v>Requested Entry Date:</v>
      </c>
      <c r="P1" s="67">
        <v>43741</v>
      </c>
      <c r="Q1" s="68" t="str">
        <f>[1]Entry!J1</f>
        <v>Revised Rec'd Date:</v>
      </c>
      <c r="R1" s="67">
        <v>43741</v>
      </c>
      <c r="S1" s="64"/>
      <c r="T1" s="64"/>
      <c r="U1" s="64"/>
      <c r="V1" s="64"/>
      <c r="W1" s="64"/>
      <c r="X1" s="64"/>
      <c r="Y1" s="64"/>
      <c r="Z1" s="64"/>
      <c r="AA1" s="64"/>
      <c r="AB1" s="64"/>
      <c r="AC1" s="64"/>
      <c r="AD1" s="64"/>
      <c r="AE1" s="64"/>
      <c r="AF1" s="64"/>
      <c r="AG1" s="64"/>
      <c r="AH1" s="64"/>
      <c r="AI1" s="64"/>
      <c r="AJ1" s="64"/>
    </row>
    <row r="2" spans="1:37" s="62" customFormat="1" ht="26.5" thickBot="1" x14ac:dyDescent="0.35">
      <c r="A2" s="69" t="s">
        <v>113</v>
      </c>
      <c r="B2" s="69" t="s">
        <v>113</v>
      </c>
      <c r="C2" s="69"/>
      <c r="D2" s="69" t="s">
        <v>113</v>
      </c>
      <c r="E2" s="69"/>
      <c r="F2" s="70"/>
      <c r="G2" s="71" t="s">
        <v>113</v>
      </c>
      <c r="H2" s="71" t="s">
        <v>113</v>
      </c>
      <c r="I2" s="71"/>
      <c r="J2" s="72"/>
      <c r="K2" s="72"/>
      <c r="L2" s="73"/>
      <c r="M2" s="74" t="str">
        <f>[1]Entry!F2</f>
        <v>Received Time (PST):</v>
      </c>
      <c r="N2" s="75"/>
      <c r="O2" s="76"/>
      <c r="P2" s="77"/>
      <c r="Q2" s="74" t="str">
        <f>[1]Entry!J2</f>
        <v>Revised Time (PST):</v>
      </c>
      <c r="R2" s="75">
        <v>0.5</v>
      </c>
      <c r="S2" s="64"/>
      <c r="T2" s="64"/>
      <c r="U2" s="78"/>
      <c r="V2" s="78"/>
      <c r="W2" s="78"/>
      <c r="X2" s="78" t="s">
        <v>113</v>
      </c>
      <c r="Y2" s="78" t="s">
        <v>113</v>
      </c>
      <c r="Z2" s="78" t="s">
        <v>113</v>
      </c>
      <c r="AA2" s="78" t="s">
        <v>113</v>
      </c>
      <c r="AB2" s="78" t="s">
        <v>113</v>
      </c>
      <c r="AC2" s="64"/>
      <c r="AD2" s="64"/>
      <c r="AE2" s="64"/>
      <c r="AF2" s="64"/>
      <c r="AG2" s="64"/>
      <c r="AH2" s="64"/>
      <c r="AI2" s="64"/>
      <c r="AJ2" s="64"/>
    </row>
    <row r="3" spans="1:37" s="44" customFormat="1" ht="104" thickBot="1" x14ac:dyDescent="0.4">
      <c r="A3" s="46" t="s">
        <v>5</v>
      </c>
      <c r="B3" s="47" t="s">
        <v>2</v>
      </c>
      <c r="C3" s="48" t="s">
        <v>84</v>
      </c>
      <c r="D3" s="25" t="s">
        <v>85</v>
      </c>
      <c r="E3" s="27" t="s">
        <v>1</v>
      </c>
      <c r="F3" s="27" t="s">
        <v>8</v>
      </c>
      <c r="G3" s="27" t="s">
        <v>86</v>
      </c>
      <c r="H3" s="25" t="s">
        <v>87</v>
      </c>
      <c r="I3" s="25" t="s">
        <v>4</v>
      </c>
      <c r="J3" s="49" t="s">
        <v>88</v>
      </c>
      <c r="K3" s="49" t="s">
        <v>89</v>
      </c>
      <c r="L3" s="50" t="s">
        <v>90</v>
      </c>
      <c r="M3" s="51" t="s">
        <v>91</v>
      </c>
      <c r="N3" s="51" t="s">
        <v>92</v>
      </c>
      <c r="O3" s="51" t="s">
        <v>93</v>
      </c>
      <c r="P3" s="51" t="s">
        <v>94</v>
      </c>
      <c r="Q3" s="51" t="s">
        <v>95</v>
      </c>
      <c r="R3" s="51" t="s">
        <v>96</v>
      </c>
      <c r="S3" s="52" t="s">
        <v>97</v>
      </c>
      <c r="T3" s="53" t="s">
        <v>98</v>
      </c>
      <c r="U3" s="53" t="s">
        <v>99</v>
      </c>
      <c r="V3" s="52" t="s">
        <v>100</v>
      </c>
      <c r="W3" s="52" t="s">
        <v>101</v>
      </c>
      <c r="X3" s="54" t="s">
        <v>102</v>
      </c>
      <c r="Y3" s="55" t="s">
        <v>103</v>
      </c>
      <c r="Z3" s="55" t="s">
        <v>104</v>
      </c>
      <c r="AA3" s="54" t="s">
        <v>105</v>
      </c>
      <c r="AB3" s="56" t="s">
        <v>106</v>
      </c>
      <c r="AC3" s="55" t="s">
        <v>107</v>
      </c>
      <c r="AD3" s="55" t="s">
        <v>108</v>
      </c>
      <c r="AE3" s="57"/>
      <c r="AF3" s="55" t="s">
        <v>109</v>
      </c>
      <c r="AG3" s="55" t="s">
        <v>110</v>
      </c>
      <c r="AH3" s="55" t="s">
        <v>111</v>
      </c>
      <c r="AI3" s="58"/>
      <c r="AJ3" s="59" t="s">
        <v>112</v>
      </c>
      <c r="AK3" s="37" t="s">
        <v>71</v>
      </c>
    </row>
    <row r="4" spans="1:37" s="44" customFormat="1" ht="14.5" x14ac:dyDescent="0.35">
      <c r="A4">
        <v>6</v>
      </c>
      <c r="B4" t="s">
        <v>72</v>
      </c>
      <c r="C4">
        <v>1234</v>
      </c>
      <c r="D4" s="61">
        <v>5678</v>
      </c>
      <c r="E4" s="60" t="s">
        <v>185</v>
      </c>
      <c r="F4" s="41" t="s">
        <v>75</v>
      </c>
      <c r="G4" s="60" t="s">
        <v>187</v>
      </c>
      <c r="H4" s="61">
        <v>5678</v>
      </c>
      <c r="I4" s="44" t="s">
        <v>77</v>
      </c>
      <c r="J4" s="44" t="s">
        <v>148</v>
      </c>
      <c r="K4" s="44" t="s">
        <v>148</v>
      </c>
      <c r="L4" s="122">
        <v>43806</v>
      </c>
      <c r="M4" s="60">
        <v>12000</v>
      </c>
      <c r="N4" s="60">
        <v>11000</v>
      </c>
      <c r="O4" s="60">
        <v>500</v>
      </c>
      <c r="P4" s="60">
        <v>650</v>
      </c>
      <c r="Q4" s="60">
        <v>600</v>
      </c>
      <c r="R4" s="60">
        <v>700</v>
      </c>
      <c r="S4" s="61" t="s">
        <v>148</v>
      </c>
      <c r="T4" s="61" t="s">
        <v>152</v>
      </c>
      <c r="U4" s="61" t="s">
        <v>152</v>
      </c>
      <c r="V4" s="61" t="s">
        <v>184</v>
      </c>
      <c r="W4" s="61" t="s">
        <v>148</v>
      </c>
      <c r="X4" s="61" t="s">
        <v>188</v>
      </c>
      <c r="Y4" s="61" t="s">
        <v>160</v>
      </c>
      <c r="Z4" s="61" t="s">
        <v>189</v>
      </c>
      <c r="AA4" s="61" t="s">
        <v>190</v>
      </c>
      <c r="AB4" s="61" t="s">
        <v>191</v>
      </c>
      <c r="AC4" s="61" t="s">
        <v>168</v>
      </c>
      <c r="AD4" s="61" t="s">
        <v>169</v>
      </c>
      <c r="AE4" s="61"/>
      <c r="AF4" s="61" t="s">
        <v>192</v>
      </c>
      <c r="AG4" s="61" t="s">
        <v>168</v>
      </c>
      <c r="AH4" s="61" t="s">
        <v>150</v>
      </c>
      <c r="AI4" s="61"/>
      <c r="AJ4" s="61" t="s">
        <v>186</v>
      </c>
      <c r="AK4" s="61" t="s">
        <v>194</v>
      </c>
    </row>
    <row r="5" spans="1:37" x14ac:dyDescent="0.35">
      <c r="N5" s="80"/>
      <c r="O5" s="80"/>
      <c r="P5" s="80"/>
      <c r="Q5" s="80"/>
      <c r="R5" s="80"/>
      <c r="S5" s="44"/>
      <c r="T5" s="44"/>
      <c r="U5" s="44"/>
    </row>
    <row r="6" spans="1:37" x14ac:dyDescent="0.35">
      <c r="N6" s="80"/>
      <c r="O6" s="80"/>
      <c r="P6" s="80"/>
      <c r="Q6" s="80"/>
      <c r="R6" s="80"/>
      <c r="S6" s="44"/>
      <c r="T6" s="44"/>
      <c r="U6" s="44"/>
    </row>
    <row r="7" spans="1:37" x14ac:dyDescent="0.35">
      <c r="N7" s="80"/>
      <c r="O7" s="80"/>
      <c r="P7" s="80"/>
      <c r="Q7" s="80"/>
      <c r="R7" s="80"/>
      <c r="S7" s="44"/>
      <c r="T7" s="44"/>
      <c r="U7" s="44"/>
    </row>
    <row r="8" spans="1:37" x14ac:dyDescent="0.35">
      <c r="N8" s="80"/>
      <c r="O8" s="80"/>
      <c r="P8" s="80"/>
      <c r="Q8" s="80"/>
      <c r="R8" s="80"/>
      <c r="S8" s="44"/>
      <c r="T8" s="44"/>
      <c r="U8" s="44"/>
    </row>
    <row r="9" spans="1:37" x14ac:dyDescent="0.35">
      <c r="N9" s="80"/>
      <c r="O9" s="80"/>
      <c r="P9" s="80"/>
      <c r="Q9" s="80"/>
      <c r="R9" s="80"/>
      <c r="S9" s="44"/>
      <c r="T9" s="44"/>
      <c r="U9" s="44"/>
    </row>
    <row r="10" spans="1:37" customFormat="1" ht="14.5" x14ac:dyDescent="0.35"/>
    <row r="11" spans="1:37" customFormat="1" ht="14.5" x14ac:dyDescent="0.35"/>
    <row r="12" spans="1:37" customFormat="1" ht="14.5" x14ac:dyDescent="0.35"/>
    <row r="13" spans="1:37" x14ac:dyDescent="0.35">
      <c r="N13" s="80"/>
      <c r="O13" s="80"/>
      <c r="P13" s="80"/>
      <c r="Q13" s="80"/>
      <c r="R13" s="80"/>
      <c r="S13" s="44"/>
      <c r="T13" s="44"/>
      <c r="U13" s="44"/>
    </row>
    <row r="14" spans="1:37" x14ac:dyDescent="0.35">
      <c r="N14" s="80"/>
      <c r="O14" s="80"/>
      <c r="P14" s="80"/>
      <c r="Q14" s="80"/>
      <c r="R14" s="80"/>
      <c r="S14" s="44"/>
      <c r="T14" s="44"/>
      <c r="U14" s="44"/>
    </row>
    <row r="15" spans="1:37" x14ac:dyDescent="0.35">
      <c r="N15" s="80"/>
      <c r="O15" s="80"/>
      <c r="P15" s="80"/>
      <c r="Q15" s="80"/>
      <c r="R15" s="80"/>
      <c r="S15" s="44"/>
      <c r="T15" s="44"/>
      <c r="U15" s="44"/>
    </row>
    <row r="16" spans="1:37" x14ac:dyDescent="0.35">
      <c r="N16" s="80"/>
      <c r="O16" s="80"/>
      <c r="P16" s="80"/>
      <c r="Q16" s="80"/>
      <c r="R16" s="80"/>
      <c r="S16" s="44"/>
      <c r="T16" s="44"/>
      <c r="U16" s="44"/>
    </row>
  </sheetData>
  <conditionalFormatting sqref="B5:B1048576">
    <cfRule type="duplicateValues" dxfId="32" priority="12"/>
  </conditionalFormatting>
  <conditionalFormatting sqref="H5:H1048576">
    <cfRule type="containsBlanks" priority="10" stopIfTrue="1">
      <formula>LEN(TRIM(H5))=0</formula>
    </cfRule>
    <cfRule type="cellIs" dxfId="31" priority="11" operator="equal">
      <formula>0</formula>
    </cfRule>
  </conditionalFormatting>
  <conditionalFormatting sqref="D4">
    <cfRule type="expression" dxfId="30" priority="8">
      <formula>D4&gt;TODAY()</formula>
    </cfRule>
  </conditionalFormatting>
  <conditionalFormatting sqref="S4:W4">
    <cfRule type="expression" dxfId="29" priority="6">
      <formula>S4&gt;TODAY()</formula>
    </cfRule>
  </conditionalFormatting>
  <conditionalFormatting sqref="X4">
    <cfRule type="expression" dxfId="28" priority="5">
      <formula>X4&gt;TODAY()</formula>
    </cfRule>
  </conditionalFormatting>
  <conditionalFormatting sqref="Y4:AK4">
    <cfRule type="expression" dxfId="27" priority="4">
      <formula>Y4&gt;TODAY()</formula>
    </cfRule>
  </conditionalFormatting>
  <conditionalFormatting sqref="B4">
    <cfRule type="expression" dxfId="26" priority="2">
      <formula>LEN(B4)&gt;20</formula>
    </cfRule>
    <cfRule type="duplicateValues" dxfId="25" priority="3"/>
  </conditionalFormatting>
  <conditionalFormatting sqref="H4">
    <cfRule type="expression" dxfId="24" priority="1">
      <formula>H4&gt;TODAY()</formula>
    </cfRule>
  </conditionalFormatting>
  <dataValidations count="2">
    <dataValidation type="time" allowBlank="1" showInputMessage="1" showErrorMessage="1" sqref="N2 P2 R2" xr:uid="{7D3E08D1-C09B-45B8-91BA-C9C831E964C3}">
      <formula1>0</formula1>
      <formula2>0.999988425925926</formula2>
    </dataValidation>
    <dataValidation type="date" allowBlank="1" showInputMessage="1" showErrorMessage="1" sqref="N1 P1 R1" xr:uid="{0B3ADB74-1F59-401A-B7D6-4B7B46E8AF65}">
      <formula1>38504</formula1>
      <formula2>44196</formula2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D1A195-777A-415D-84C7-754067AD9C2A}">
  <sheetPr codeName="Sheet5"/>
  <dimension ref="A1:AK3"/>
  <sheetViews>
    <sheetView workbookViewId="0">
      <selection activeCell="H1" sqref="H1"/>
    </sheetView>
  </sheetViews>
  <sheetFormatPr defaultRowHeight="14.5" x14ac:dyDescent="0.35"/>
  <cols>
    <col min="1" max="1" width="12.54296875" bestFit="1" customWidth="1"/>
    <col min="2" max="2" width="12.453125" bestFit="1" customWidth="1"/>
    <col min="3" max="3" width="19.54296875" bestFit="1" customWidth="1"/>
    <col min="4" max="4" width="11.7265625" bestFit="1" customWidth="1"/>
  </cols>
  <sheetData>
    <row r="1" spans="1:37" s="44" customFormat="1" ht="70" customHeight="1" thickBot="1" x14ac:dyDescent="0.4">
      <c r="A1" s="46" t="s">
        <v>5</v>
      </c>
      <c r="B1" s="47" t="s">
        <v>2</v>
      </c>
      <c r="C1" s="48" t="s">
        <v>84</v>
      </c>
      <c r="D1" s="25" t="s">
        <v>85</v>
      </c>
      <c r="E1" s="27" t="s">
        <v>1</v>
      </c>
      <c r="F1" s="27" t="s">
        <v>8</v>
      </c>
      <c r="G1" s="27" t="s">
        <v>86</v>
      </c>
      <c r="H1" s="25" t="s">
        <v>87</v>
      </c>
      <c r="I1" s="25" t="s">
        <v>4</v>
      </c>
      <c r="J1" s="49" t="s">
        <v>88</v>
      </c>
      <c r="K1" s="49" t="s">
        <v>89</v>
      </c>
      <c r="L1" s="50" t="s">
        <v>90</v>
      </c>
      <c r="M1" s="51" t="s">
        <v>91</v>
      </c>
      <c r="N1" s="51" t="s">
        <v>92</v>
      </c>
      <c r="O1" s="51" t="s">
        <v>93</v>
      </c>
      <c r="P1" s="51" t="s">
        <v>94</v>
      </c>
      <c r="Q1" s="51" t="s">
        <v>95</v>
      </c>
      <c r="R1" s="51" t="s">
        <v>96</v>
      </c>
      <c r="S1" s="52" t="s">
        <v>97</v>
      </c>
      <c r="T1" s="53" t="s">
        <v>98</v>
      </c>
      <c r="U1" s="53" t="s">
        <v>99</v>
      </c>
      <c r="V1" s="52" t="s">
        <v>100</v>
      </c>
      <c r="W1" s="52" t="s">
        <v>101</v>
      </c>
      <c r="X1" s="54" t="s">
        <v>102</v>
      </c>
      <c r="Y1" s="55" t="s">
        <v>103</v>
      </c>
      <c r="Z1" s="55" t="s">
        <v>104</v>
      </c>
      <c r="AA1" s="54" t="s">
        <v>105</v>
      </c>
      <c r="AB1" s="56" t="s">
        <v>106</v>
      </c>
      <c r="AC1" s="55" t="s">
        <v>107</v>
      </c>
      <c r="AD1" s="55" t="s">
        <v>108</v>
      </c>
      <c r="AE1" s="57"/>
      <c r="AF1" s="55" t="s">
        <v>109</v>
      </c>
      <c r="AG1" s="55" t="s">
        <v>110</v>
      </c>
      <c r="AH1" s="55" t="s">
        <v>111</v>
      </c>
      <c r="AI1" s="58"/>
      <c r="AJ1" s="59" t="s">
        <v>112</v>
      </c>
      <c r="AK1" s="37" t="s">
        <v>71</v>
      </c>
    </row>
    <row r="2" spans="1:37" s="44" customFormat="1" ht="13" x14ac:dyDescent="0.35">
      <c r="A2" s="39">
        <v>1</v>
      </c>
      <c r="B2" s="40" t="s">
        <v>72</v>
      </c>
      <c r="C2" s="41" t="s">
        <v>73</v>
      </c>
      <c r="D2" s="61"/>
      <c r="E2" s="60"/>
      <c r="F2" s="60"/>
      <c r="G2" s="60"/>
      <c r="H2" s="61"/>
      <c r="I2" s="60"/>
      <c r="L2" s="60"/>
      <c r="M2" s="60"/>
      <c r="N2" s="60"/>
      <c r="O2" s="60"/>
      <c r="P2" s="60"/>
      <c r="Q2" s="60"/>
      <c r="R2" s="60"/>
      <c r="S2" s="61"/>
      <c r="T2" s="61"/>
      <c r="U2" s="61"/>
      <c r="V2" s="61"/>
      <c r="W2" s="61"/>
      <c r="X2" s="61"/>
      <c r="Y2" s="61"/>
      <c r="Z2" s="61"/>
      <c r="AA2" s="61"/>
      <c r="AB2" s="61"/>
      <c r="AC2" s="61"/>
      <c r="AD2" s="61"/>
      <c r="AE2" s="61" t="s">
        <v>183</v>
      </c>
      <c r="AF2" s="61" t="s">
        <v>193</v>
      </c>
      <c r="AG2" s="61" t="s">
        <v>168</v>
      </c>
      <c r="AH2" s="61" t="s">
        <v>188</v>
      </c>
      <c r="AI2" s="61" t="s">
        <v>194</v>
      </c>
      <c r="AJ2" s="61" t="s">
        <v>160</v>
      </c>
      <c r="AK2" s="61" t="s">
        <v>195</v>
      </c>
    </row>
    <row r="3" spans="1:37" x14ac:dyDescent="0.35">
      <c r="A3">
        <v>2</v>
      </c>
      <c r="B3" s="40" t="s">
        <v>72</v>
      </c>
      <c r="C3" s="41" t="s">
        <v>73</v>
      </c>
    </row>
  </sheetData>
  <conditionalFormatting sqref="D2">
    <cfRule type="expression" dxfId="23" priority="7">
      <formula>D2&gt;TODAY()</formula>
    </cfRule>
  </conditionalFormatting>
  <conditionalFormatting sqref="H2">
    <cfRule type="expression" dxfId="22" priority="6">
      <formula>H2&gt;TODAY()</formula>
    </cfRule>
  </conditionalFormatting>
  <conditionalFormatting sqref="S2:W2">
    <cfRule type="expression" dxfId="21" priority="5">
      <formula>S2&gt;TODAY()</formula>
    </cfRule>
  </conditionalFormatting>
  <conditionalFormatting sqref="X2">
    <cfRule type="expression" dxfId="20" priority="4">
      <formula>X2&gt;TODAY()</formula>
    </cfRule>
  </conditionalFormatting>
  <conditionalFormatting sqref="Y2:AK2">
    <cfRule type="expression" dxfId="19" priority="3">
      <formula>Y2&gt;TODAY()</formula>
    </cfRule>
  </conditionalFormatting>
  <conditionalFormatting sqref="B2:B3">
    <cfRule type="expression" dxfId="18" priority="1">
      <formula>LEN(B2)&gt;20</formula>
    </cfRule>
    <cfRule type="duplicateValues" dxfId="17" priority="2"/>
  </conditionalFormatting>
  <pageMargins left="0.7" right="0.7" top="0.75" bottom="0.75" header="0.3" footer="0.3"/>
  <pageSetup orientation="portrait" horizontalDpi="300" verticalDpi="3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B54ED7-ACC3-4A79-A69B-054CC8BECF90}">
  <sheetPr codeName="Sheet19"/>
  <dimension ref="A1:AD20"/>
  <sheetViews>
    <sheetView topLeftCell="C1" workbookViewId="0">
      <selection activeCell="L3" sqref="L3"/>
    </sheetView>
  </sheetViews>
  <sheetFormatPr defaultColWidth="9.1796875" defaultRowHeight="13" x14ac:dyDescent="0.35"/>
  <cols>
    <col min="1" max="1" width="7.7265625" style="115" customWidth="1"/>
    <col min="2" max="2" width="20.7265625" style="116" customWidth="1"/>
    <col min="3" max="4" width="7.7265625" style="116" customWidth="1"/>
    <col min="5" max="5" width="20.7265625" style="116" customWidth="1"/>
    <col min="6" max="6" width="9.54296875" style="116" bestFit="1" customWidth="1"/>
    <col min="7" max="7" width="25.7265625" style="117" customWidth="1"/>
    <col min="8" max="8" width="9.26953125" style="118" bestFit="1" customWidth="1"/>
    <col min="9" max="9" width="3.26953125" style="108" bestFit="1" customWidth="1"/>
    <col min="10" max="10" width="12" style="108" hidden="1" customWidth="1"/>
    <col min="11" max="11" width="7.81640625" style="108" hidden="1" customWidth="1"/>
    <col min="12" max="12" width="10.1796875" style="119" bestFit="1" customWidth="1"/>
    <col min="13" max="13" width="5.7265625" style="120" bestFit="1" customWidth="1"/>
    <col min="14" max="14" width="11.81640625" style="108" bestFit="1" customWidth="1"/>
    <col min="15" max="15" width="10.26953125" style="120" bestFit="1" customWidth="1"/>
    <col min="16" max="16" width="9.54296875" style="120" bestFit="1" customWidth="1"/>
    <col min="17" max="18" width="9.81640625" style="108" bestFit="1" customWidth="1"/>
    <col min="19" max="19" width="11.54296875" style="108" bestFit="1" customWidth="1"/>
    <col min="20" max="20" width="8.81640625" style="108" bestFit="1" customWidth="1"/>
    <col min="21" max="21" width="3.7265625" style="108" customWidth="1"/>
    <col min="22" max="22" width="8.7265625" style="108" customWidth="1"/>
    <col min="23" max="23" width="3.7265625" style="108" customWidth="1"/>
    <col min="24" max="24" width="7.81640625" style="108" bestFit="1" customWidth="1"/>
    <col min="25" max="25" width="8.453125" style="108" bestFit="1" customWidth="1"/>
    <col min="26" max="26" width="7.81640625" style="108" bestFit="1" customWidth="1"/>
    <col min="27" max="27" width="9.54296875" style="108" bestFit="1" customWidth="1"/>
    <col min="28" max="29" width="3.26953125" style="108" bestFit="1" customWidth="1"/>
    <col min="30" max="30" width="10.26953125" style="108" bestFit="1" customWidth="1"/>
    <col min="31" max="16384" width="9.1796875" style="108"/>
  </cols>
  <sheetData>
    <row r="1" spans="1:30" s="62" customFormat="1" ht="26.5" thickBot="1" x14ac:dyDescent="0.35">
      <c r="A1" s="63"/>
      <c r="B1" s="63"/>
      <c r="C1" s="63"/>
      <c r="D1" s="63"/>
      <c r="E1" s="63"/>
      <c r="F1" s="63"/>
      <c r="G1" s="64"/>
      <c r="H1" s="81"/>
      <c r="I1" s="64"/>
      <c r="J1" s="64"/>
      <c r="K1" s="64"/>
      <c r="L1" s="65"/>
      <c r="M1" s="65"/>
      <c r="N1" s="64"/>
      <c r="O1" s="66" t="str">
        <f>[1]Entry!F1</f>
        <v>Received Date:</v>
      </c>
      <c r="P1" s="67"/>
      <c r="Q1" s="68" t="str">
        <f>[1]Entry!H1</f>
        <v>Requested Entry Date:</v>
      </c>
      <c r="R1" s="67">
        <v>43740</v>
      </c>
      <c r="S1" s="68" t="str">
        <f>[1]Entry!J1</f>
        <v>Revised Rec'd Date:</v>
      </c>
      <c r="T1" s="67">
        <v>43740</v>
      </c>
      <c r="U1" s="64"/>
      <c r="V1" s="64"/>
      <c r="W1" s="64"/>
      <c r="X1" s="82"/>
      <c r="Y1" s="64"/>
      <c r="Z1" s="64"/>
    </row>
    <row r="2" spans="1:30" s="62" customFormat="1" ht="26.5" thickBot="1" x14ac:dyDescent="0.4">
      <c r="A2" s="78" t="s">
        <v>113</v>
      </c>
      <c r="B2" s="78" t="s">
        <v>113</v>
      </c>
      <c r="C2" s="83"/>
      <c r="D2" s="123" t="s">
        <v>113</v>
      </c>
      <c r="E2" s="123"/>
      <c r="F2" s="123" t="s">
        <v>113</v>
      </c>
      <c r="G2" s="123"/>
      <c r="H2" s="123" t="s">
        <v>113</v>
      </c>
      <c r="I2" s="123"/>
      <c r="J2" s="78" t="s">
        <v>113</v>
      </c>
      <c r="K2" s="78" t="s">
        <v>113</v>
      </c>
      <c r="L2" s="84"/>
      <c r="M2" s="84"/>
      <c r="N2" s="78" t="s">
        <v>113</v>
      </c>
      <c r="O2" s="74" t="str">
        <f>[1]Entry!F2</f>
        <v>Received Time (PST):</v>
      </c>
      <c r="P2" s="75"/>
      <c r="Q2" s="76"/>
      <c r="R2" s="77"/>
      <c r="S2" s="74" t="str">
        <f>[1]Entry!J2</f>
        <v>Revised Time (PST):</v>
      </c>
      <c r="T2" s="75">
        <v>0.4597222222222222</v>
      </c>
      <c r="U2" s="124" t="s">
        <v>114</v>
      </c>
      <c r="V2" s="125"/>
      <c r="W2" s="126"/>
      <c r="X2" s="85" t="s">
        <v>113</v>
      </c>
      <c r="Y2" s="78" t="s">
        <v>113</v>
      </c>
      <c r="Z2" s="78" t="s">
        <v>113</v>
      </c>
    </row>
    <row r="3" spans="1:30" s="62" customFormat="1" ht="99.5" thickBot="1" x14ac:dyDescent="0.35">
      <c r="A3" s="86" t="s">
        <v>5</v>
      </c>
      <c r="B3" s="5" t="s">
        <v>2</v>
      </c>
      <c r="C3" s="87" t="s">
        <v>84</v>
      </c>
      <c r="D3" s="87" t="s">
        <v>85</v>
      </c>
      <c r="E3" s="5" t="s">
        <v>1</v>
      </c>
      <c r="F3" s="5" t="s">
        <v>3</v>
      </c>
      <c r="G3" s="88" t="s">
        <v>86</v>
      </c>
      <c r="H3" s="89" t="s">
        <v>87</v>
      </c>
      <c r="I3" s="90" t="s">
        <v>4</v>
      </c>
      <c r="J3" s="49" t="s">
        <v>88</v>
      </c>
      <c r="K3" s="49" t="s">
        <v>115</v>
      </c>
      <c r="L3" s="91" t="s">
        <v>116</v>
      </c>
      <c r="M3" s="92" t="s">
        <v>117</v>
      </c>
      <c r="N3" s="93" t="s">
        <v>118</v>
      </c>
      <c r="O3" s="94" t="s">
        <v>119</v>
      </c>
      <c r="P3" s="95" t="s">
        <v>120</v>
      </c>
      <c r="Q3" s="96" t="s">
        <v>121</v>
      </c>
      <c r="R3" s="96" t="s">
        <v>122</v>
      </c>
      <c r="S3" s="94" t="s">
        <v>123</v>
      </c>
      <c r="T3" s="94" t="s">
        <v>124</v>
      </c>
      <c r="U3" s="54" t="s">
        <v>125</v>
      </c>
      <c r="V3" s="55" t="s">
        <v>126</v>
      </c>
      <c r="W3" s="54" t="s">
        <v>127</v>
      </c>
      <c r="X3" s="97" t="s">
        <v>128</v>
      </c>
      <c r="Y3" s="98" t="s">
        <v>129</v>
      </c>
      <c r="Z3" s="98" t="s">
        <v>119</v>
      </c>
      <c r="AA3" s="99" t="s">
        <v>50</v>
      </c>
      <c r="AB3" s="100" t="s">
        <v>43</v>
      </c>
      <c r="AC3" s="101" t="s">
        <v>44</v>
      </c>
      <c r="AD3" s="37" t="s">
        <v>71</v>
      </c>
    </row>
    <row r="4" spans="1:30" x14ac:dyDescent="0.35">
      <c r="A4" s="102"/>
      <c r="B4" s="103"/>
      <c r="C4" s="61"/>
      <c r="D4" s="104"/>
      <c r="E4" s="104"/>
      <c r="F4" s="104"/>
      <c r="G4" s="104"/>
      <c r="H4" s="105"/>
      <c r="I4" s="104"/>
      <c r="J4" s="106"/>
      <c r="K4" s="106"/>
      <c r="L4" s="61"/>
      <c r="M4" s="107"/>
      <c r="N4" s="104"/>
      <c r="O4" s="61"/>
      <c r="P4" s="61"/>
      <c r="Q4" s="61"/>
      <c r="R4" s="104"/>
      <c r="S4" s="61"/>
      <c r="T4" s="61"/>
      <c r="U4" s="61"/>
      <c r="V4" s="61"/>
      <c r="W4" s="61"/>
      <c r="X4" s="61"/>
      <c r="Y4" s="61"/>
      <c r="Z4" s="61"/>
      <c r="AA4" s="61"/>
      <c r="AB4" s="106"/>
      <c r="AC4" s="106"/>
    </row>
    <row r="5" spans="1:30" s="112" customFormat="1" x14ac:dyDescent="0.35">
      <c r="A5" s="109"/>
      <c r="B5" s="110"/>
      <c r="C5" s="110"/>
      <c r="D5" s="110"/>
      <c r="E5" s="110"/>
      <c r="F5" s="110"/>
      <c r="G5" s="110"/>
      <c r="H5" s="111"/>
      <c r="L5" s="113"/>
      <c r="O5" s="114"/>
      <c r="R5" s="106"/>
      <c r="S5" s="106"/>
      <c r="T5" s="106"/>
      <c r="AB5" s="106"/>
      <c r="AC5" s="106"/>
    </row>
    <row r="6" spans="1:30" x14ac:dyDescent="0.35">
      <c r="R6" s="106"/>
      <c r="S6" s="106"/>
      <c r="T6" s="106"/>
      <c r="AB6" s="106"/>
      <c r="AC6" s="106"/>
    </row>
    <row r="7" spans="1:30" x14ac:dyDescent="0.35">
      <c r="R7" s="106"/>
      <c r="S7" s="106"/>
      <c r="T7" s="106"/>
      <c r="AB7" s="106"/>
      <c r="AC7" s="106"/>
    </row>
    <row r="8" spans="1:30" x14ac:dyDescent="0.35">
      <c r="R8" s="106"/>
      <c r="S8" s="106"/>
      <c r="T8" s="106"/>
      <c r="AB8" s="106"/>
      <c r="AC8" s="106"/>
    </row>
    <row r="9" spans="1:30" x14ac:dyDescent="0.35">
      <c r="R9" s="106"/>
      <c r="S9" s="106"/>
      <c r="T9" s="106"/>
      <c r="AB9" s="106"/>
      <c r="AC9" s="106"/>
    </row>
    <row r="10" spans="1:30" x14ac:dyDescent="0.35">
      <c r="R10" s="106"/>
      <c r="S10" s="106"/>
      <c r="T10" s="106"/>
      <c r="AB10" s="106"/>
      <c r="AC10" s="106"/>
    </row>
    <row r="11" spans="1:30" x14ac:dyDescent="0.35">
      <c r="R11" s="106"/>
      <c r="S11" s="106"/>
      <c r="T11" s="106"/>
      <c r="AB11" s="106"/>
      <c r="AC11" s="106"/>
    </row>
    <row r="12" spans="1:30" x14ac:dyDescent="0.35">
      <c r="R12" s="106"/>
      <c r="S12" s="106"/>
      <c r="T12" s="106"/>
      <c r="AB12" s="106"/>
      <c r="AC12" s="106"/>
    </row>
    <row r="13" spans="1:30" x14ac:dyDescent="0.35">
      <c r="R13" s="106"/>
      <c r="S13" s="106"/>
      <c r="T13" s="106"/>
      <c r="AB13" s="106"/>
      <c r="AC13" s="106"/>
    </row>
    <row r="14" spans="1:30" x14ac:dyDescent="0.35">
      <c r="R14" s="106"/>
      <c r="S14" s="106"/>
      <c r="T14" s="106"/>
      <c r="AB14" s="106"/>
      <c r="AC14" s="106"/>
    </row>
    <row r="15" spans="1:30" x14ac:dyDescent="0.35">
      <c r="R15" s="106"/>
      <c r="S15" s="106"/>
      <c r="T15" s="106"/>
      <c r="AB15" s="106"/>
      <c r="AC15" s="106"/>
    </row>
    <row r="16" spans="1:30" x14ac:dyDescent="0.35">
      <c r="R16" s="106"/>
      <c r="S16" s="106"/>
      <c r="T16" s="106"/>
      <c r="AB16" s="106"/>
      <c r="AC16" s="106"/>
    </row>
    <row r="17" spans="18:29" x14ac:dyDescent="0.35">
      <c r="R17" s="106"/>
      <c r="S17" s="106"/>
      <c r="T17" s="106"/>
      <c r="AB17" s="106"/>
      <c r="AC17" s="106"/>
    </row>
    <row r="18" spans="18:29" x14ac:dyDescent="0.35">
      <c r="R18" s="106"/>
      <c r="S18" s="106"/>
      <c r="T18" s="106"/>
      <c r="AB18" s="106"/>
      <c r="AC18" s="106"/>
    </row>
    <row r="19" spans="18:29" x14ac:dyDescent="0.35">
      <c r="R19" s="106"/>
      <c r="S19" s="106"/>
      <c r="T19" s="106"/>
      <c r="AB19" s="106"/>
      <c r="AC19" s="106"/>
    </row>
    <row r="20" spans="18:29" x14ac:dyDescent="0.35">
      <c r="R20" s="106"/>
      <c r="S20" s="106"/>
      <c r="T20" s="106"/>
      <c r="AB20" s="106"/>
      <c r="AC20" s="106"/>
    </row>
  </sheetData>
  <mergeCells count="4">
    <mergeCell ref="D2:E2"/>
    <mergeCell ref="F2:G2"/>
    <mergeCell ref="H2:I2"/>
    <mergeCell ref="U2:W2"/>
  </mergeCells>
  <conditionalFormatting sqref="T5:T1048576">
    <cfRule type="expression" dxfId="16" priority="14">
      <formula>I5="V"</formula>
    </cfRule>
  </conditionalFormatting>
  <conditionalFormatting sqref="X6:X1048576">
    <cfRule type="cellIs" dxfId="15" priority="13" operator="notEqual">
      <formula>0</formula>
    </cfRule>
  </conditionalFormatting>
  <conditionalFormatting sqref="L4 L6:L1048576">
    <cfRule type="expression" dxfId="14" priority="17">
      <formula>L4&gt;TODAY()</formula>
    </cfRule>
  </conditionalFormatting>
  <conditionalFormatting sqref="I6:I1048576">
    <cfRule type="cellIs" dxfId="13" priority="15" operator="equal">
      <formula>"E"</formula>
    </cfRule>
    <cfRule type="cellIs" dxfId="12" priority="16" operator="equal">
      <formula>"V"</formula>
    </cfRule>
  </conditionalFormatting>
  <conditionalFormatting sqref="T2">
    <cfRule type="containsBlanks" dxfId="11" priority="12">
      <formula>LEN(TRIM(T2))=0</formula>
    </cfRule>
  </conditionalFormatting>
  <conditionalFormatting sqref="C4">
    <cfRule type="expression" dxfId="10" priority="11">
      <formula>C4&gt;TODAY()</formula>
    </cfRule>
  </conditionalFormatting>
  <conditionalFormatting sqref="O4">
    <cfRule type="expression" dxfId="9" priority="10">
      <formula>O4&gt;TODAY()</formula>
    </cfRule>
  </conditionalFormatting>
  <conditionalFormatting sqref="P4">
    <cfRule type="expression" dxfId="8" priority="9">
      <formula>P4&gt;TODAY()</formula>
    </cfRule>
  </conditionalFormatting>
  <conditionalFormatting sqref="Q4">
    <cfRule type="expression" dxfId="7" priority="8">
      <formula>Q4&gt;TODAY()</formula>
    </cfRule>
  </conditionalFormatting>
  <conditionalFormatting sqref="S4">
    <cfRule type="expression" dxfId="6" priority="7">
      <formula>S4&gt;TODAY()</formula>
    </cfRule>
  </conditionalFormatting>
  <conditionalFormatting sqref="T4">
    <cfRule type="expression" dxfId="5" priority="6">
      <formula>T4&gt;TODAY()</formula>
    </cfRule>
  </conditionalFormatting>
  <conditionalFormatting sqref="U4:W4">
    <cfRule type="expression" dxfId="4" priority="5">
      <formula>U4&gt;TODAY()</formula>
    </cfRule>
  </conditionalFormatting>
  <conditionalFormatting sqref="X4">
    <cfRule type="expression" dxfId="3" priority="4">
      <formula>X4&gt;TODAY()</formula>
    </cfRule>
  </conditionalFormatting>
  <conditionalFormatting sqref="Y4">
    <cfRule type="expression" dxfId="2" priority="3">
      <formula>Y4&gt;TODAY()</formula>
    </cfRule>
  </conditionalFormatting>
  <conditionalFormatting sqref="Z4">
    <cfRule type="expression" dxfId="1" priority="2">
      <formula>Z4&gt;TODAY()</formula>
    </cfRule>
  </conditionalFormatting>
  <conditionalFormatting sqref="AA4">
    <cfRule type="expression" dxfId="0" priority="1">
      <formula>AA4&gt;TODAY()</formula>
    </cfRule>
  </conditionalFormatting>
  <dataValidations count="2">
    <dataValidation type="time" allowBlank="1" showInputMessage="1" showErrorMessage="1" sqref="P2 R2 T2" xr:uid="{CAEBC6B4-4B79-4939-AF2A-603100545B11}">
      <formula1>0</formula1>
      <formula2>0.999988425925926</formula2>
    </dataValidation>
    <dataValidation type="date" allowBlank="1" showInputMessage="1" showErrorMessage="1" sqref="R1 P1 T1" xr:uid="{31B530B4-0349-4715-9E20-B2F41A357F3B}">
      <formula1>38504</formula1>
      <formula2>44196</formula2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FinalResult1</vt:lpstr>
      <vt:lpstr>Sheet1</vt:lpstr>
      <vt:lpstr>NewSKU</vt:lpstr>
      <vt:lpstr>FinalResult190</vt:lpstr>
      <vt:lpstr>PriceChange</vt:lpstr>
      <vt:lpstr>SKuPrice</vt:lpstr>
      <vt:lpstr>Discontinuation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Kalimuthukumar Ashokan</dc:creator>
  <cp:lastModifiedBy>Singh, Utkarsh L&amp;T</cp:lastModifiedBy>
  <dcterms:created xsi:type="dcterms:W3CDTF">2019-11-14T08:31:36Z</dcterms:created>
  <dcterms:modified xsi:type="dcterms:W3CDTF">2019-11-15T16:10:47Z</dcterms:modified>
</cp:coreProperties>
</file>